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uimiento_Sprint" sheetId="1" state="visible" r:id="rId3"/>
    <sheet name="Burn_Up_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<sst xmlns="http://schemas.openxmlformats.org/spreadsheetml/2006/main" count="252" uniqueCount="152">
  <si>
    <t xml:space="preserve">OBJETIVOS: Elaborar y validar el Documento 0 del proyecto, cubriendo la iniciación, el contexto organizacional, el diagnóstico interno y externo (PESTEL, Porter, FODA, cadena de valor, Ishikawa, histograma), el levantamiento de requerimientos, los casos de uso, la estimación de costos/beneficios y la entrega/presentación formal del documento.</t>
  </si>
  <si>
    <t xml:space="preserve">PILA DEL PRODUCTO</t>
  </si>
  <si>
    <t xml:space="preserve">SEGUIMIENTO</t>
  </si>
  <si>
    <t xml:space="preserve">PROYECTO</t>
  </si>
  <si>
    <t xml:space="preserve">Verficación</t>
  </si>
  <si>
    <t xml:space="preserve">Prioridad</t>
  </si>
  <si>
    <t xml:space="preserve">Categoría</t>
  </si>
  <si>
    <t xml:space="preserve">Tarea</t>
  </si>
  <si>
    <t xml:space="preserve">Responsable</t>
  </si>
  <si>
    <t xml:space="preserve">Estimar HH</t>
  </si>
  <si>
    <t xml:space="preserve">Registro Diario en Horas</t>
  </si>
  <si>
    <t xml:space="preserve">Inicio</t>
  </si>
  <si>
    <t xml:space="preserve">Fin</t>
  </si>
  <si>
    <t xml:space="preserve">HH Efectivas</t>
  </si>
  <si>
    <t xml:space="preserve">Revisión</t>
  </si>
  <si>
    <t xml:space="preserve">Estado</t>
  </si>
  <si>
    <t xml:space="preserve">Detalles</t>
  </si>
  <si>
    <t xml:space="preserve">Iniciación</t>
  </si>
  <si>
    <t xml:space="preserve">Solicitud formal de la iniciativa por parte del grupo de trabajo</t>
  </si>
  <si>
    <t xml:space="preserve">Vicente Ortega Nobizelli</t>
  </si>
  <si>
    <t xml:space="preserve">24-03-2026  1 H</t>
  </si>
  <si>
    <t xml:space="preserve">Vicente</t>
  </si>
  <si>
    <t xml:space="preserve">OK</t>
  </si>
  <si>
    <t xml:space="preserve">Se formalizó ante el grupo de trabajo la solicitud de inicio de la iniciativa del proyecto. Entregable: acta de solicitud formal. Criterio de aceptación: iniciativa presentada y aceptada por todos los integrantes; evidencia: registro de acuerdo incorporado al Documento 0.</t>
  </si>
  <si>
    <t xml:space="preserve">Crear la visión del proyecto</t>
  </si>
  <si>
    <t xml:space="preserve">Todos</t>
  </si>
  <si>
    <t xml:space="preserve">25-03-2026  2 H</t>
  </si>
  <si>
    <t xml:space="preserve">Se redactó la visión general del proyecto, describiendo el propósito y el valor esperado para la organización. Entregable: declaración de visión del proyecto. Criterio de aceptación: visión clara, alineada con los objetivos de Ingecon; evidencia: sección incorporada al Documento 0.</t>
  </si>
  <si>
    <t xml:space="preserve">Identificación de roles dentro del equipo</t>
  </si>
  <si>
    <t xml:space="preserve">27-03-2026  1 H</t>
  </si>
  <si>
    <t xml:space="preserve">Se definieron y asignaron los roles y responsabilidades de cada integrante del equipo de trabajo. Entregable: matriz de roles y responsabilidades. Criterio de aceptación: roles asignados sin duplicidad y aceptados por el equipo; evidencia: tabla de roles incorporada al Documento 0.</t>
  </si>
  <si>
    <t xml:space="preserve">Planificación y Estimación</t>
  </si>
  <si>
    <t xml:space="preserve">Construir product backlog</t>
  </si>
  <si>
    <t xml:space="preserve">27-03-2026  1.5 H          30-03-2026  1.5 H          01-04-2026  1 H</t>
  </si>
  <si>
    <t xml:space="preserve">Se construyó el product backlog inicial del proyecto, priorizando las funcionalidades a desarrollar. Entregable: product backlog priorizado. Criterio de aceptación: ítems priorizados y estimados a nivel general; evidencia: backlog incorporado a la planificación del proyecto.</t>
  </si>
  <si>
    <t xml:space="preserve">Documento 0</t>
  </si>
  <si>
    <t xml:space="preserve">Introducción</t>
  </si>
  <si>
    <t xml:space="preserve">Paulina Urrutia Moya</t>
  </si>
  <si>
    <t xml:space="preserve">21-03-2026  1 H          23-03-2026  1 H          25-03-2026  1 H</t>
  </si>
  <si>
    <t xml:space="preserve">Se redactó la introducción del Documento 0, presentando el propósito, alcance y estructura del informe. Entregable: sección de introducción. Criterio de aceptación: propósito y alcance del documento claramente expuestos; evidencia: sección integrada al Documento 0.</t>
  </si>
  <si>
    <t xml:space="preserve">Contexto</t>
  </si>
  <si>
    <t xml:space="preserve">Tomás Hurtado Silva</t>
  </si>
  <si>
    <t xml:space="preserve">Se describió el contexto organizacional de la empresa Ingecon, incluyendo su rubro, trayectoria y estructura. Entregable: sección de contexto de la organización. Criterio de aceptación: información general de la empresa completa y verificada; evidencia: sección integrada al Documento 0.</t>
  </si>
  <si>
    <t xml:space="preserve">Problema</t>
  </si>
  <si>
    <t xml:space="preserve">Benjamin Parraguez Aguirre</t>
  </si>
  <si>
    <t xml:space="preserve">28-03-2026  1 H          31-03-2026  1 H          03-04-2026  1 H</t>
  </si>
  <si>
    <t xml:space="preserve">Se identificó y describió la problemática que da origen al proyecto. Entregable: sección de descripción de la problemática. Criterio de aceptación: problemática claramente definida y justificada; evidencia: sección integrada al Documento 0.</t>
  </si>
  <si>
    <t xml:space="preserve">Objetivo General</t>
  </si>
  <si>
    <t xml:space="preserve">27-03-2026  1 H          05-04-2026  1 H</t>
  </si>
  <si>
    <t xml:space="preserve">Se redactó el objetivo general del proyecto en base a la problemática identificada. Entregable: objetivo general. Criterio de aceptación: objetivo medible y alineado con la problemática; evidencia: sección integrada al Documento 0.</t>
  </si>
  <si>
    <t xml:space="preserve">Objetivos Específicos</t>
  </si>
  <si>
    <t xml:space="preserve">28-03-2026  1 H          05-04-2026  1 H</t>
  </si>
  <si>
    <t xml:space="preserve">Se definieron los objetivos específicos derivados del objetivo general del proyecto. Entregable: listado de objetivos específicos. Criterio de aceptación: objetivos medibles y consistentes con el objetivo general; evidencia: sección integrada al Documento 0.</t>
  </si>
  <si>
    <t xml:space="preserve">Organigramas</t>
  </si>
  <si>
    <t xml:space="preserve">26-03-2026  1 H          01-04-2026  1 H</t>
  </si>
  <si>
    <t xml:space="preserve">Se elaboraron los organigramas de la empresa representando su estructura jerárquica y funcional. Entregable: organigramas de la organización. Criterio de aceptación: estructura organizacional representada correctamente; evidencia: diagramas incorporados al Documento 0.</t>
  </si>
  <si>
    <t xml:space="preserve">Levantamiento de Requerimientos</t>
  </si>
  <si>
    <t xml:space="preserve">Preparar la Entrevista del Usuario</t>
  </si>
  <si>
    <t xml:space="preserve">22-03-2026  1 H          23-03-2026  1 H</t>
  </si>
  <si>
    <t xml:space="preserve">Se prepararon las preguntas y la pauta de la entrevista a realizar al usuario/cliente. Entregable: pauta de entrevista. Criterio de aceptación: preguntas alineadas con los objetivos del levantamiento; evidencia: pauta utilizada en la primera entrevista.</t>
  </si>
  <si>
    <t xml:space="preserve">Análisis Externo</t>
  </si>
  <si>
    <t xml:space="preserve">PEST o PESTEL</t>
  </si>
  <si>
    <t xml:space="preserve">31-03-2026  1 H          02-04-2026  1 H          05-04-2026  1 H</t>
  </si>
  <si>
    <t xml:space="preserve">Se desarrolló el análisis PESTEL de factores políticos, económicos, sociales, tecnológicos, ecológicos y legales que afectan a la organización. Entregable: análisis PESTEL. Criterio de aceptación: factores externos identificados y justificados; evidencia: sección integrada al Documento 0.</t>
  </si>
  <si>
    <t xml:space="preserve">Primera Entrevista Usuario</t>
  </si>
  <si>
    <t xml:space="preserve">Vicente Ortega Nobizelli, Tomás Hurtado Silva, Benjamin Parraguez Aguirre</t>
  </si>
  <si>
    <t xml:space="preserve">24-03-2026  3 H</t>
  </si>
  <si>
    <t xml:space="preserve">Se realizó la primera entrevista con el usuario/cliente para levantar información inicial del negocio. Entregable: minuta de la primera entrevista. Criterio de aceptación: información relevante registrada y validada; evidencia: minuta incorporada al levantamiento de requerimientos.</t>
  </si>
  <si>
    <t xml:space="preserve">Análisis Interno-Externo</t>
  </si>
  <si>
    <t xml:space="preserve">Foda</t>
  </si>
  <si>
    <t xml:space="preserve">Se elaboró el análisis FODA identificando fortalezas, oportunidades, debilidades y amenazas de la organización. Entregable: matriz FODA. Criterio de aceptación: elementos identificados y respaldados con evidencia; evidencia: sección integrada al Documento 0.</t>
  </si>
  <si>
    <t xml:space="preserve">Análisis Interno</t>
  </si>
  <si>
    <t xml:space="preserve">Cadena de valor</t>
  </si>
  <si>
    <t xml:space="preserve">30-03-2026  1 H          01-04-2026  1 H</t>
  </si>
  <si>
    <t xml:space="preserve">Se construyó la cadena de valor de la organización identificando actividades primarias y de apoyo. Entregable: cadena de valor. Criterio de aceptación: actividades correctamente clasificadas; evidencia: diagrama incorporado al Documento 0.</t>
  </si>
  <si>
    <t xml:space="preserve">Planificación</t>
  </si>
  <si>
    <t xml:space="preserve">Sprint Planning</t>
  </si>
  <si>
    <t xml:space="preserve">31-03-2026  2 H</t>
  </si>
  <si>
    <t xml:space="preserve">Se realizó la reunión de Sprint Planning para organizar las tareas del desarrollo del Documento 0. Entregable: planificación del sprint. Criterio de aceptación: tareas, responsables y plazos definidos; evidencia: minuta de planificación. Nota: la carta Gantt registra para esta tarea una fecha de término (10-03-2026) anterior a la de inicio (31-03-2026), lo que corresponde a un error de digitación en el archivo original; se utilizó la fecha de inicio como fecha única de la tarea.</t>
  </si>
  <si>
    <t xml:space="preserve">Análisis Cualitativo</t>
  </si>
  <si>
    <t xml:space="preserve">Ishikawa</t>
  </si>
  <si>
    <t xml:space="preserve">Diego Carabajal Belmar</t>
  </si>
  <si>
    <t xml:space="preserve">22-03-2026  1 H          25-03-2026  1 H          27-03-2026  1 H</t>
  </si>
  <si>
    <t xml:space="preserve">Se elaboró el diagrama de Ishikawa para identificar las causas raíz de la problemática detectada. Entregable: diagrama de Ishikawa. Criterio de aceptación: causas identificadas y clasificadas coherentemente; evidencia: diagrama integrado al análisis cualitativo del Documento 0.</t>
  </si>
  <si>
    <t xml:space="preserve">Levantamiento de Procesos</t>
  </si>
  <si>
    <t xml:space="preserve">Levantamiento de Procesos (Bizagi)</t>
  </si>
  <si>
    <t xml:space="preserve">Diego Sepúlveda Solar, Vicente Ortega Nobizelli</t>
  </si>
  <si>
    <t xml:space="preserve">04-04-2026  1 H          06-04-2026  2 H</t>
  </si>
  <si>
    <t xml:space="preserve">Se modelaron en Bizagi los procesos generales de la organización (manufactura, ensamble, transporte y despacho). Entregable: diagramas de procesos en Bizagi. Criterio de aceptación: procesos modelados de forma completa y coherente con la operación real; evidencia: diagramas incorporados al Documento 0.</t>
  </si>
  <si>
    <t xml:space="preserve">Porter</t>
  </si>
  <si>
    <t xml:space="preserve">04-04-2026  1 H          05-04-2026  1 H</t>
  </si>
  <si>
    <t xml:space="preserve">Se desarrolló el análisis de las 5 fuerzas de Porter para evaluar la posición competitiva de la organización. Entregable: análisis de Porter. Criterio de aceptación: las cinco fuerzas analizadas y justificadas; evidencia: sección integrada al Documento 0.</t>
  </si>
  <si>
    <t xml:space="preserve">Análisis Cuantitativo</t>
  </si>
  <si>
    <t xml:space="preserve">Histograma</t>
  </si>
  <si>
    <t xml:space="preserve">06-04-2026  1 H</t>
  </si>
  <si>
    <t xml:space="preserve">Se construyó el histograma con datos cuantitativos relevantes de la organización para el análisis cuantitativo. Entregable: histograma. Criterio de aceptación: datos representados correctamente y con conclusiones asociadas; evidencia: gráfico incorporado al Documento 0.</t>
  </si>
  <si>
    <t xml:space="preserve">Requerimientos</t>
  </si>
  <si>
    <t xml:space="preserve">Levantar Requerimientos de Usuario</t>
  </si>
  <si>
    <t xml:space="preserve">Paulina Urrutia Moya, Tomás Hurtado Silva</t>
  </si>
  <si>
    <t xml:space="preserve">21-03-2026  2 H          31-03-2026  2 H          08-04-2026  2 H          15-04-2026  2 H</t>
  </si>
  <si>
    <t xml:space="preserve">Se relevaron los requerimientos del usuario a través de entrevistas y revisión documental, consolidando la información recabada. Entregable: listado preliminar de requerimientos. Criterio de aceptación: requerimientos identificados, redactados y validados con el cliente; evidencia: registro de requerimientos levantados.</t>
  </si>
  <si>
    <t xml:space="preserve">Envío de correo de aceptación de requisitos</t>
  </si>
  <si>
    <t xml:space="preserve">08-04-2026  1 H</t>
  </si>
  <si>
    <t xml:space="preserve">Se envió al cliente el correo formal de aceptación de los requisitos levantados. Entregable: correo de aceptación de requisitos. Criterio de aceptación: aceptación formal recibida por parte del cliente; evidencia: correo incorporado como respaldo del levantamiento.</t>
  </si>
  <si>
    <t xml:space="preserve">Pasar Requerimientos Funcionales a UR (estándar ESA)</t>
  </si>
  <si>
    <t xml:space="preserve">Tomás Hurtado Silva, Paulina Urrutia Moya</t>
  </si>
  <si>
    <t xml:space="preserve">17-03-2026  2 H          01-04-2026  2 H          17-04-2026  2 H</t>
  </si>
  <si>
    <t xml:space="preserve">Se estructuraron los requerimientos funcionales bajo el estándar ESA (User Requirements). Entregable: requerimientos funcionales en formato UR. Criterio de aceptación: requerimientos redactados según el estándar y trazables; evidencia: sección de requerimientos integrada al Documento 0.</t>
  </si>
  <si>
    <t xml:space="preserve">Casos de Uso</t>
  </si>
  <si>
    <t xml:space="preserve">Diagrama de casos de uso</t>
  </si>
  <si>
    <t xml:space="preserve">31-03-2026  1.5 H          10-04-2026  2 H          18-04-2026  1.5 H</t>
  </si>
  <si>
    <t xml:space="preserve">Se elaboró el diagrama de casos de uso general del sistema en base a los requerimientos levantados. Entregable: diagrama de casos de uso. Criterio de aceptación: actores y casos de uso correctamente representados; evidencia: diagrama incorporado al Documento 0.</t>
  </si>
  <si>
    <t xml:space="preserve">Casos de uso Extendido</t>
  </si>
  <si>
    <t xml:space="preserve">01-04-2026  2 H          08-04-2026  1.5 H          15-04-2026  1.5 H</t>
  </si>
  <si>
    <t xml:space="preserve">Se documentaron los casos de uso extendidos, describiendo flujo principal, flujos alternativos y precondiciones. Entregable: descripciones extendidas de casos de uso. Criterio de aceptación: casos de uso completos y trazables con los requerimientos; evidencia: sección integrada al Documento 0.</t>
  </si>
  <si>
    <t xml:space="preserve">Evaluación Económica</t>
  </si>
  <si>
    <t xml:space="preserve">Estimación de costos y beneficios</t>
  </si>
  <si>
    <t xml:space="preserve">11-04-2026  1.5 H          17-04-2026  1.5 H</t>
  </si>
  <si>
    <t xml:space="preserve">Se estimaron los costos y beneficios asociados al desarrollo del proyecto. Entregable: estimación de costos y beneficios. Criterio de aceptación: cifras justificadas y coherentes con el alcance definido; evidencia: sección integrada al Documento 0.</t>
  </si>
  <si>
    <t xml:space="preserve">Trazabilidad</t>
  </si>
  <si>
    <t xml:space="preserve">Matriz de requerimientos v/s casos de uso</t>
  </si>
  <si>
    <t xml:space="preserve">Paulina Urrutia</t>
  </si>
  <si>
    <t xml:space="preserve">01-04-2026  1 H          18-04-2026  2 H</t>
  </si>
  <si>
    <t xml:space="preserve">Se elaboró la matriz de trazabilidad entre los requerimientos y los casos de uso definidos. Entregable: matriz de requerimientos vs casos de uso. Criterio de aceptación: todos los requerimientos asociados a al menos un caso de uso; evidencia: matriz incorporada al Documento 0.</t>
  </si>
  <si>
    <t xml:space="preserve">Cierre Documento 0</t>
  </si>
  <si>
    <t xml:space="preserve">Revisión del Documento 0</t>
  </si>
  <si>
    <t xml:space="preserve">Diego Sepúlveda Solar, Vicente Ortega Nobizelli, Diego Carabajal Belmar</t>
  </si>
  <si>
    <t xml:space="preserve">16-04-2026  2 H</t>
  </si>
  <si>
    <t xml:space="preserve">Se realizó la revisión integral del Documento 0 antes de su entrega. Entregable: informe de observaciones de revisión. Criterio de aceptación: observaciones registradas y priorizadas; evidencia: pauta de revisión del documento.</t>
  </si>
  <si>
    <t xml:space="preserve">Correcciones Documento 0</t>
  </si>
  <si>
    <t xml:space="preserve">16-04-2026  1 H          19-04-2026  2 H</t>
  </si>
  <si>
    <t xml:space="preserve">Se aplicaron las correcciones identificadas en la revisión del Documento 0. Entregable: Documento 0 corregido. Criterio de aceptación: observaciones resueltas en su totalidad; evidencia: documento actualizado con cambios trazables.</t>
  </si>
  <si>
    <t xml:space="preserve">Entregar el Documento 0</t>
  </si>
  <si>
    <t xml:space="preserve">19-04-2026  1 H</t>
  </si>
  <si>
    <t xml:space="preserve">Se realizó la entrega formal del Documento 0 al profesor guía. Entregable: Documento 0 entregado. Criterio de aceptación: documento entregado dentro del plazo establecido; evidencia: comprobante/registro de entrega.</t>
  </si>
  <si>
    <t xml:space="preserve">Preparación Presentación</t>
  </si>
  <si>
    <t xml:space="preserve">20-04-2026  1 H          21-04-2026  1 H</t>
  </si>
  <si>
    <t xml:space="preserve">Se preparó la presentación oral del Documento 0, incluyendo diapositivas y distribución de temas por integrante. Entregable: presentación preparada. Criterio de aceptación: contenido resumido y roles de exposición asignados; evidencia: material de presentación.</t>
  </si>
  <si>
    <t xml:space="preserve">Hacer la Presentación del Documento 0</t>
  </si>
  <si>
    <t xml:space="preserve">22-04-2026  1 H</t>
  </si>
  <si>
    <t xml:space="preserve">Se realizó la presentación oral del Documento 0 ante el profesor guía. Entregable: presentación realizada. Criterio de aceptación: exposición completa dentro del tiempo asignado; evidencia: registro/retroalimentación de la presentación.</t>
  </si>
  <si>
    <t xml:space="preserve">Seguimiento Burn-Up / Burn-Down — Desarrollo Documento 0</t>
  </si>
  <si>
    <t xml:space="preserve">Fuente: hoja "Seguimiento_Sprint" (columnas Estimar HH y Registro Diario en Horas). HH Estimada diaria = Estimar HH de cada tarea repartido en partes iguales entre sus días de registro.</t>
  </si>
  <si>
    <t xml:space="preserve">Día</t>
  </si>
  <si>
    <t xml:space="preserve">Fecha</t>
  </si>
  <si>
    <t xml:space="preserve">HH Estimada (día)</t>
  </si>
  <si>
    <t xml:space="preserve">HH Efectiva (día)</t>
  </si>
  <si>
    <t xml:space="preserve">HH Estimada (acum.)</t>
  </si>
  <si>
    <t xml:space="preserve">HH Efectiva (acum.)</t>
  </si>
  <si>
    <t xml:space="preserve">Remanente Estimada</t>
  </si>
  <si>
    <t xml:space="preserve">Remanente Efectiva</t>
  </si>
  <si>
    <t xml:space="preserve">Total Estimar HH (alcance):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</si>
</sst>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m/d/yyyy"/>
    <numFmt numFmtId="167" formatCode="0.0"/>
    <numFmt numFmtId="168" formatCode="yyyy\-mm\-dd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D966"/>
        <bgColor rgb="FFFFFF99"/>
      </patternFill>
    </fill>
    <fill>
      <patternFill patternType="solid">
        <fgColor rgb="FFA9D08E"/>
        <bgColor rgb="FFBFBFBF"/>
      </patternFill>
    </fill>
    <fill>
      <patternFill patternType="solid">
        <fgColor rgb="FF9BC2E6"/>
        <bgColor rgb="FFBFBFBF"/>
      </patternFill>
    </fill>
    <fill>
      <patternFill patternType="solid">
        <fgColor theme="7" tint="0.5998"/>
        <bgColor rgb="FFBFBFBF"/>
      </patternFill>
    </fill>
    <fill>
      <patternFill patternType="solid">
        <fgColor theme="8" tint="0.7998"/>
        <bgColor rgb="FFD9D9D9"/>
      </patternFill>
    </fill>
    <fill>
      <patternFill patternType="solid">
        <fgColor theme="6" tint="0.5998"/>
        <bgColor rgb="FFD9D9D9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EF4"/>
      <rgbColor rgb="FF660066"/>
      <rgbColor rgb="FFFF8080"/>
      <rgbColor rgb="FF1F77B4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7E4BD"/>
      <rgbColor rgb="FFFFFF99"/>
      <rgbColor rgb="FF9BC2E6"/>
      <rgbColor rgb="FFFF99CC"/>
      <rgbColor rgb="FFCC99FF"/>
      <rgbColor rgb="FFFFD966"/>
      <rgbColor rgb="FF3366FF"/>
      <rgbColor rgb="FF33CCCC"/>
      <rgbColor rgb="FFA9D08E"/>
      <rgbColor rgb="FFFFCC00"/>
      <rgbColor rgb="FFFF9900"/>
      <rgbColor rgb="FFFF6600"/>
      <rgbColor rgb="FF595959"/>
      <rgbColor rgb="FFB3B3B3"/>
      <rgbColor rgb="FF003366"/>
      <rgbColor rgb="FF339966"/>
      <rgbColor rgb="FF003300"/>
      <rgbColor rgb="FF333300"/>
      <rgbColor rgb="FFD6272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Gráfica Burn-Up —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"HH Estimada"</c:f>
              <c:strCache>
                <c:ptCount val="1"/>
                <c:pt idx="0">
                  <c:v>HH Estimada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Burn_Up_Down!$E$5:$E$36</c:f>
              <c:numCache>
                <c:formatCode>0.0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15</c:v>
                </c:pt>
                <c:pt idx="8">
                  <c:v>22</c:v>
                </c:pt>
                <c:pt idx="9">
                  <c:v>23</c:v>
                </c:pt>
                <c:pt idx="10">
                  <c:v>27.3333</c:v>
                </c:pt>
                <c:pt idx="11">
                  <c:v>29.3333</c:v>
                </c:pt>
                <c:pt idx="12">
                  <c:v>29.3333</c:v>
                </c:pt>
                <c:pt idx="13">
                  <c:v>31.6666</c:v>
                </c:pt>
                <c:pt idx="14">
                  <c:v>39.3333</c:v>
                </c:pt>
                <c:pt idx="15">
                  <c:v>47.8333</c:v>
                </c:pt>
                <c:pt idx="16">
                  <c:v>48.8333</c:v>
                </c:pt>
                <c:pt idx="17">
                  <c:v>49.8333</c:v>
                </c:pt>
                <c:pt idx="18">
                  <c:v>52.3333</c:v>
                </c:pt>
                <c:pt idx="19">
                  <c:v>56.3333</c:v>
                </c:pt>
                <c:pt idx="20">
                  <c:v>58.8333</c:v>
                </c:pt>
                <c:pt idx="21">
                  <c:v>58.8333</c:v>
                </c:pt>
                <c:pt idx="22">
                  <c:v>63.5</c:v>
                </c:pt>
                <c:pt idx="23">
                  <c:v>63.5</c:v>
                </c:pt>
                <c:pt idx="24">
                  <c:v>65.1667</c:v>
                </c:pt>
                <c:pt idx="25">
                  <c:v>66.6667</c:v>
                </c:pt>
                <c:pt idx="26">
                  <c:v>66.6667</c:v>
                </c:pt>
                <c:pt idx="27">
                  <c:v>66.6667</c:v>
                </c:pt>
                <c:pt idx="28">
                  <c:v>66.6667</c:v>
                </c:pt>
                <c:pt idx="29">
                  <c:v>70.3334</c:v>
                </c:pt>
                <c:pt idx="30">
                  <c:v>73.8334</c:v>
                </c:pt>
                <c:pt idx="31">
                  <c:v>77.3334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"HH Efectiva"</c:f>
              <c:strCache>
                <c:ptCount val="1"/>
                <c:pt idx="0">
                  <c:v>HH Efectiva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Burn_Up_Down!$F$5:$F$36</c:f>
              <c:numCache>
                <c:formatCode>0.0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15</c:v>
                </c:pt>
                <c:pt idx="8">
                  <c:v>22</c:v>
                </c:pt>
                <c:pt idx="9">
                  <c:v>23</c:v>
                </c:pt>
                <c:pt idx="10">
                  <c:v>27.5</c:v>
                </c:pt>
                <c:pt idx="11">
                  <c:v>29.5</c:v>
                </c:pt>
                <c:pt idx="12">
                  <c:v>29.5</c:v>
                </c:pt>
                <c:pt idx="13">
                  <c:v>32</c:v>
                </c:pt>
                <c:pt idx="14">
                  <c:v>39.5</c:v>
                </c:pt>
                <c:pt idx="15">
                  <c:v>47.5</c:v>
                </c:pt>
                <c:pt idx="16">
                  <c:v>48.5</c:v>
                </c:pt>
                <c:pt idx="17">
                  <c:v>49.5</c:v>
                </c:pt>
                <c:pt idx="18">
                  <c:v>51.5</c:v>
                </c:pt>
                <c:pt idx="19">
                  <c:v>55.5</c:v>
                </c:pt>
                <c:pt idx="20">
                  <c:v>58.5</c:v>
                </c:pt>
                <c:pt idx="21">
                  <c:v>58.5</c:v>
                </c:pt>
                <c:pt idx="22">
                  <c:v>63</c:v>
                </c:pt>
                <c:pt idx="23">
                  <c:v>63</c:v>
                </c:pt>
                <c:pt idx="24">
                  <c:v>65</c:v>
                </c:pt>
                <c:pt idx="25">
                  <c:v>66.5</c:v>
                </c:pt>
                <c:pt idx="26">
                  <c:v>66.5</c:v>
                </c:pt>
                <c:pt idx="27">
                  <c:v>66.5</c:v>
                </c:pt>
                <c:pt idx="28">
                  <c:v>66.5</c:v>
                </c:pt>
                <c:pt idx="29">
                  <c:v>70</c:v>
                </c:pt>
                <c:pt idx="30">
                  <c:v>73</c:v>
                </c:pt>
                <c:pt idx="31">
                  <c:v>76.5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141421"/>
        <c:axId val="84502754"/>
      </c:lineChart>
      <c:catAx>
        <c:axId val="451414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502754"/>
        <c:crosses val="autoZero"/>
        <c:auto val="1"/>
        <c:lblAlgn val="ctr"/>
        <c:lblOffset val="100"/>
        <c:noMultiLvlLbl val="0"/>
      </c:catAx>
      <c:valAx>
        <c:axId val="845027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141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Gráfica Burn-Down —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"HH Estimada"</c:f>
              <c:strCache>
                <c:ptCount val="1"/>
                <c:pt idx="0">
                  <c:v>HH Estimada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Burn_Up_Down!$G$5:$G$36</c:f>
              <c:numCache>
                <c:formatCode>0.0</c:formatCode>
                <c:ptCount val="32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80</c:v>
                </c:pt>
                <c:pt idx="5">
                  <c:v>78</c:v>
                </c:pt>
                <c:pt idx="6">
                  <c:v>75</c:v>
                </c:pt>
                <c:pt idx="7">
                  <c:v>71</c:v>
                </c:pt>
                <c:pt idx="8">
                  <c:v>64</c:v>
                </c:pt>
                <c:pt idx="9">
                  <c:v>63</c:v>
                </c:pt>
                <c:pt idx="10">
                  <c:v>58.6667</c:v>
                </c:pt>
                <c:pt idx="11">
                  <c:v>56.6667</c:v>
                </c:pt>
                <c:pt idx="12">
                  <c:v>56.6667</c:v>
                </c:pt>
                <c:pt idx="13">
                  <c:v>54.3334</c:v>
                </c:pt>
                <c:pt idx="14">
                  <c:v>46.6667</c:v>
                </c:pt>
                <c:pt idx="15">
                  <c:v>38.1667</c:v>
                </c:pt>
                <c:pt idx="16">
                  <c:v>37.1667</c:v>
                </c:pt>
                <c:pt idx="17">
                  <c:v>36.1667</c:v>
                </c:pt>
                <c:pt idx="18">
                  <c:v>33.6667</c:v>
                </c:pt>
                <c:pt idx="19">
                  <c:v>29.6667</c:v>
                </c:pt>
                <c:pt idx="20">
                  <c:v>27.1667</c:v>
                </c:pt>
                <c:pt idx="21">
                  <c:v>27.1667</c:v>
                </c:pt>
                <c:pt idx="22">
                  <c:v>22.5</c:v>
                </c:pt>
                <c:pt idx="23">
                  <c:v>22.5</c:v>
                </c:pt>
                <c:pt idx="24">
                  <c:v>20.8333</c:v>
                </c:pt>
                <c:pt idx="25">
                  <c:v>19.3333</c:v>
                </c:pt>
                <c:pt idx="26">
                  <c:v>19.3333</c:v>
                </c:pt>
                <c:pt idx="27">
                  <c:v>19.3333</c:v>
                </c:pt>
                <c:pt idx="28">
                  <c:v>19.3333</c:v>
                </c:pt>
                <c:pt idx="29">
                  <c:v>15.6666</c:v>
                </c:pt>
                <c:pt idx="30">
                  <c:v>12.1666</c:v>
                </c:pt>
                <c:pt idx="31">
                  <c:v>8.66659999999999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"HH Efectiva"</c:f>
              <c:strCache>
                <c:ptCount val="1"/>
                <c:pt idx="0">
                  <c:v>HH Efectiva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Burn_Up_Down!$H$5:$H$36</c:f>
              <c:numCache>
                <c:formatCode>0.0</c:formatCode>
                <c:ptCount val="32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80</c:v>
                </c:pt>
                <c:pt idx="5">
                  <c:v>78</c:v>
                </c:pt>
                <c:pt idx="6">
                  <c:v>75</c:v>
                </c:pt>
                <c:pt idx="7">
                  <c:v>71</c:v>
                </c:pt>
                <c:pt idx="8">
                  <c:v>64</c:v>
                </c:pt>
                <c:pt idx="9">
                  <c:v>63</c:v>
                </c:pt>
                <c:pt idx="10">
                  <c:v>58.5</c:v>
                </c:pt>
                <c:pt idx="11">
                  <c:v>56.5</c:v>
                </c:pt>
                <c:pt idx="12">
                  <c:v>56.5</c:v>
                </c:pt>
                <c:pt idx="13">
                  <c:v>54</c:v>
                </c:pt>
                <c:pt idx="14">
                  <c:v>46.5</c:v>
                </c:pt>
                <c:pt idx="15">
                  <c:v>38.5</c:v>
                </c:pt>
                <c:pt idx="16">
                  <c:v>37.5</c:v>
                </c:pt>
                <c:pt idx="17">
                  <c:v>36.5</c:v>
                </c:pt>
                <c:pt idx="18">
                  <c:v>34.5</c:v>
                </c:pt>
                <c:pt idx="19">
                  <c:v>30.5</c:v>
                </c:pt>
                <c:pt idx="20">
                  <c:v>27.5</c:v>
                </c:pt>
                <c:pt idx="21">
                  <c:v>27.5</c:v>
                </c:pt>
                <c:pt idx="22">
                  <c:v>23</c:v>
                </c:pt>
                <c:pt idx="23">
                  <c:v>23</c:v>
                </c:pt>
                <c:pt idx="24">
                  <c:v>21</c:v>
                </c:pt>
                <c:pt idx="25">
                  <c:v>19.5</c:v>
                </c:pt>
                <c:pt idx="26">
                  <c:v>19.5</c:v>
                </c:pt>
                <c:pt idx="27">
                  <c:v>19.5</c:v>
                </c:pt>
                <c:pt idx="28">
                  <c:v>19.5</c:v>
                </c:pt>
                <c:pt idx="29">
                  <c:v>16</c:v>
                </c:pt>
                <c:pt idx="30">
                  <c:v>13</c:v>
                </c:pt>
                <c:pt idx="31">
                  <c:v>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131013"/>
        <c:axId val="77154599"/>
      </c:lineChart>
      <c:catAx>
        <c:axId val="35131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154599"/>
        <c:crosses val="autoZero"/>
        <c:auto val="1"/>
        <c:lblAlgn val="ctr"/>
        <c:lblOffset val="100"/>
        <c:noMultiLvlLbl val="0"/>
      </c:catAx>
      <c:valAx>
        <c:axId val="771545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131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10080</xdr:rowOff>
    </xdr:from>
    <xdr:to>
      <xdr:col>7</xdr:col>
      <xdr:colOff>291600</xdr:colOff>
      <xdr:row>54</xdr:row>
      <xdr:rowOff>10800</xdr:rowOff>
    </xdr:to>
    <xdr:graphicFrame>
      <xdr:nvGraphicFramePr>
        <xdr:cNvPr id="0" name="Chart 1"/>
        <xdr:cNvGraphicFramePr/>
      </xdr:nvGraphicFramePr>
      <xdr:xfrm>
        <a:off x="0" y="72298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37</xdr:row>
      <xdr:rowOff>10080</xdr:rowOff>
    </xdr:from>
    <xdr:to>
      <xdr:col>18</xdr:col>
      <xdr:colOff>522360</xdr:colOff>
      <xdr:row>54</xdr:row>
      <xdr:rowOff>10800</xdr:rowOff>
    </xdr:to>
    <xdr:graphicFrame>
      <xdr:nvGraphicFramePr>
        <xdr:cNvPr id="1" name="Chart 2"/>
        <xdr:cNvGraphicFramePr/>
      </xdr:nvGraphicFramePr>
      <xdr:xfrm>
        <a:off x="8246880" y="72298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29" activeCellId="0" sqref="C29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.29"/>
    <col collapsed="false" customWidth="true" hidden="false" outlineLevel="0" max="3" min="3" style="1" width="21.29"/>
    <col collapsed="false" customWidth="true" hidden="false" outlineLevel="0" max="4" min="4" style="1" width="15.71"/>
    <col collapsed="false" customWidth="true" hidden="false" outlineLevel="0" max="5" min="5" style="1" width="11.85"/>
    <col collapsed="false" customWidth="true" hidden="false" outlineLevel="0" max="6" min="6" style="1" width="23.57"/>
    <col collapsed="false" customWidth="true" hidden="false" outlineLevel="0" max="8" min="7" style="1" width="11.29"/>
    <col collapsed="false" customWidth="true" hidden="false" outlineLevel="0" max="9" min="9" style="1" width="18.86"/>
    <col collapsed="false" customWidth="true" hidden="false" outlineLevel="0" max="10" min="10" style="1" width="13.15"/>
    <col collapsed="false" customWidth="true" hidden="false" outlineLevel="0" max="11" min="11" style="1" width="11.85"/>
    <col collapsed="false" customWidth="true" hidden="false" outlineLevel="0" max="12" min="12" style="1" width="58.42"/>
  </cols>
  <sheetData>
    <row r="1" customFormat="false" ht="9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</row>
    <row r="2" customFormat="false" ht="15" hidden="false" customHeight="true" outlineLevel="0" collapsed="false">
      <c r="A2" s="4" t="s">
        <v>1</v>
      </c>
      <c r="B2" s="4"/>
      <c r="C2" s="4"/>
      <c r="D2" s="4"/>
      <c r="E2" s="4"/>
      <c r="F2" s="5" t="s">
        <v>2</v>
      </c>
      <c r="G2" s="6" t="s">
        <v>3</v>
      </c>
      <c r="H2" s="6"/>
      <c r="I2" s="6"/>
      <c r="J2" s="7" t="s">
        <v>4</v>
      </c>
      <c r="K2" s="7"/>
      <c r="L2" s="7"/>
    </row>
    <row r="3" customFormat="false" ht="15" hidden="false" customHeight="true" outlineLevel="0" collapsed="false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</row>
    <row r="4" customFormat="false" ht="48.75" hidden="false" customHeight="true" outlineLevel="0" collapsed="false">
      <c r="A4" s="9" t="n">
        <v>1</v>
      </c>
      <c r="B4" s="9" t="s">
        <v>17</v>
      </c>
      <c r="C4" s="9" t="s">
        <v>18</v>
      </c>
      <c r="D4" s="9" t="s">
        <v>19</v>
      </c>
      <c r="E4" s="9" t="n">
        <v>1</v>
      </c>
      <c r="F4" s="10" t="s">
        <v>20</v>
      </c>
      <c r="G4" s="11" t="n">
        <v>46105</v>
      </c>
      <c r="H4" s="11" t="n">
        <v>46105</v>
      </c>
      <c r="I4" s="9" t="n">
        <v>1</v>
      </c>
      <c r="J4" s="12" t="s">
        <v>21</v>
      </c>
      <c r="K4" s="13" t="s">
        <v>22</v>
      </c>
      <c r="L4" s="14" t="s">
        <v>23</v>
      </c>
    </row>
    <row r="5" customFormat="false" ht="81.75" hidden="false" customHeight="true" outlineLevel="0" collapsed="false">
      <c r="A5" s="9" t="n">
        <v>1</v>
      </c>
      <c r="B5" s="9" t="s">
        <v>17</v>
      </c>
      <c r="C5" s="9" t="s">
        <v>24</v>
      </c>
      <c r="D5" s="9" t="s">
        <v>25</v>
      </c>
      <c r="E5" s="9" t="n">
        <v>2</v>
      </c>
      <c r="F5" s="10" t="s">
        <v>26</v>
      </c>
      <c r="G5" s="11" t="n">
        <v>46106</v>
      </c>
      <c r="H5" s="11" t="n">
        <v>46106</v>
      </c>
      <c r="I5" s="9" t="n">
        <v>2</v>
      </c>
      <c r="J5" s="12" t="s">
        <v>21</v>
      </c>
      <c r="K5" s="13" t="s">
        <v>22</v>
      </c>
      <c r="L5" s="14" t="s">
        <v>27</v>
      </c>
    </row>
    <row r="6" customFormat="false" ht="98.25" hidden="false" customHeight="true" outlineLevel="0" collapsed="false">
      <c r="A6" s="9" t="n">
        <v>1</v>
      </c>
      <c r="B6" s="9" t="s">
        <v>17</v>
      </c>
      <c r="C6" s="9" t="s">
        <v>28</v>
      </c>
      <c r="D6" s="9" t="s">
        <v>25</v>
      </c>
      <c r="E6" s="9" t="n">
        <v>1</v>
      </c>
      <c r="F6" s="10" t="s">
        <v>29</v>
      </c>
      <c r="G6" s="11" t="n">
        <v>46108</v>
      </c>
      <c r="H6" s="11" t="n">
        <v>46108</v>
      </c>
      <c r="I6" s="9" t="n">
        <v>1</v>
      </c>
      <c r="J6" s="12" t="s">
        <v>21</v>
      </c>
      <c r="K6" s="15" t="s">
        <v>22</v>
      </c>
      <c r="L6" s="14" t="s">
        <v>30</v>
      </c>
    </row>
    <row r="7" customFormat="false" ht="101.25" hidden="false" customHeight="true" outlineLevel="0" collapsed="false">
      <c r="A7" s="9" t="n">
        <v>1</v>
      </c>
      <c r="B7" s="9" t="s">
        <v>31</v>
      </c>
      <c r="C7" s="9" t="s">
        <v>32</v>
      </c>
      <c r="D7" s="9" t="s">
        <v>25</v>
      </c>
      <c r="E7" s="9" t="n">
        <v>4</v>
      </c>
      <c r="F7" s="10" t="s">
        <v>33</v>
      </c>
      <c r="G7" s="11" t="n">
        <v>46108</v>
      </c>
      <c r="H7" s="11" t="n">
        <v>46113</v>
      </c>
      <c r="I7" s="9" t="n">
        <v>4</v>
      </c>
      <c r="J7" s="12" t="s">
        <v>21</v>
      </c>
      <c r="K7" s="15" t="s">
        <v>22</v>
      </c>
      <c r="L7" s="14" t="s">
        <v>34</v>
      </c>
    </row>
    <row r="8" customFormat="false" ht="103.5" hidden="false" customHeight="true" outlineLevel="0" collapsed="false">
      <c r="A8" s="9" t="n">
        <v>1</v>
      </c>
      <c r="B8" s="9" t="s">
        <v>35</v>
      </c>
      <c r="C8" s="9" t="s">
        <v>36</v>
      </c>
      <c r="D8" s="9" t="s">
        <v>37</v>
      </c>
      <c r="E8" s="9" t="n">
        <v>3</v>
      </c>
      <c r="F8" s="10" t="s">
        <v>38</v>
      </c>
      <c r="G8" s="11" t="n">
        <v>46102</v>
      </c>
      <c r="H8" s="11" t="n">
        <v>46106</v>
      </c>
      <c r="I8" s="9" t="n">
        <v>3</v>
      </c>
      <c r="J8" s="12" t="s">
        <v>21</v>
      </c>
      <c r="K8" s="15" t="s">
        <v>22</v>
      </c>
      <c r="L8" s="14" t="s">
        <v>39</v>
      </c>
    </row>
    <row r="9" customFormat="false" ht="99.75" hidden="false" customHeight="true" outlineLevel="0" collapsed="false">
      <c r="A9" s="9" t="n">
        <v>1</v>
      </c>
      <c r="B9" s="9" t="s">
        <v>35</v>
      </c>
      <c r="C9" s="9" t="s">
        <v>40</v>
      </c>
      <c r="D9" s="9" t="s">
        <v>41</v>
      </c>
      <c r="E9" s="9" t="n">
        <v>3</v>
      </c>
      <c r="F9" s="10" t="s">
        <v>38</v>
      </c>
      <c r="G9" s="11" t="n">
        <v>46102</v>
      </c>
      <c r="H9" s="11" t="n">
        <v>46106</v>
      </c>
      <c r="I9" s="9" t="n">
        <v>3</v>
      </c>
      <c r="J9" s="12" t="s">
        <v>21</v>
      </c>
      <c r="K9" s="15" t="s">
        <v>22</v>
      </c>
      <c r="L9" s="14" t="s">
        <v>42</v>
      </c>
    </row>
    <row r="10" customFormat="false" ht="96.75" hidden="false" customHeight="true" outlineLevel="0" collapsed="false">
      <c r="A10" s="9" t="n">
        <v>1</v>
      </c>
      <c r="B10" s="16" t="s">
        <v>35</v>
      </c>
      <c r="C10" s="16" t="s">
        <v>43</v>
      </c>
      <c r="D10" s="9" t="s">
        <v>44</v>
      </c>
      <c r="E10" s="9" t="n">
        <v>3</v>
      </c>
      <c r="F10" s="10" t="s">
        <v>45</v>
      </c>
      <c r="G10" s="11" t="n">
        <v>46109</v>
      </c>
      <c r="H10" s="11" t="n">
        <v>46115</v>
      </c>
      <c r="I10" s="9" t="n">
        <v>3</v>
      </c>
      <c r="J10" s="12" t="s">
        <v>21</v>
      </c>
      <c r="K10" s="15" t="s">
        <v>22</v>
      </c>
      <c r="L10" s="14" t="s">
        <v>46</v>
      </c>
    </row>
    <row r="11" customFormat="false" ht="99" hidden="false" customHeight="true" outlineLevel="0" collapsed="false">
      <c r="A11" s="9" t="n">
        <v>1</v>
      </c>
      <c r="B11" s="9" t="s">
        <v>35</v>
      </c>
      <c r="C11" s="9" t="s">
        <v>47</v>
      </c>
      <c r="D11" s="9" t="s">
        <v>37</v>
      </c>
      <c r="E11" s="9" t="n">
        <v>2</v>
      </c>
      <c r="F11" s="10" t="s">
        <v>48</v>
      </c>
      <c r="G11" s="11" t="n">
        <v>46108</v>
      </c>
      <c r="H11" s="11" t="n">
        <v>46117</v>
      </c>
      <c r="I11" s="9" t="n">
        <v>2</v>
      </c>
      <c r="J11" s="12" t="s">
        <v>21</v>
      </c>
      <c r="K11" s="13" t="s">
        <v>22</v>
      </c>
      <c r="L11" s="14" t="s">
        <v>49</v>
      </c>
    </row>
    <row r="12" customFormat="false" ht="104.25" hidden="false" customHeight="true" outlineLevel="0" collapsed="false">
      <c r="A12" s="9" t="n">
        <v>1</v>
      </c>
      <c r="B12" s="9" t="s">
        <v>35</v>
      </c>
      <c r="C12" s="9" t="s">
        <v>50</v>
      </c>
      <c r="D12" s="9" t="s">
        <v>37</v>
      </c>
      <c r="E12" s="9" t="n">
        <v>2</v>
      </c>
      <c r="F12" s="17" t="s">
        <v>51</v>
      </c>
      <c r="G12" s="11" t="n">
        <v>46109</v>
      </c>
      <c r="H12" s="11" t="n">
        <v>46117</v>
      </c>
      <c r="I12" s="9" t="n">
        <v>2</v>
      </c>
      <c r="J12" s="12" t="s">
        <v>21</v>
      </c>
      <c r="K12" s="13" t="s">
        <v>22</v>
      </c>
      <c r="L12" s="18" t="s">
        <v>52</v>
      </c>
    </row>
    <row r="13" customFormat="false" ht="75.75" hidden="false" customHeight="true" outlineLevel="0" collapsed="false">
      <c r="A13" s="9" t="n">
        <v>1</v>
      </c>
      <c r="B13" s="9" t="s">
        <v>35</v>
      </c>
      <c r="C13" s="9" t="s">
        <v>53</v>
      </c>
      <c r="D13" s="9" t="s">
        <v>44</v>
      </c>
      <c r="E13" s="9" t="n">
        <v>2</v>
      </c>
      <c r="F13" s="19" t="s">
        <v>54</v>
      </c>
      <c r="G13" s="11" t="n">
        <v>46107</v>
      </c>
      <c r="H13" s="11" t="n">
        <v>46113</v>
      </c>
      <c r="I13" s="9" t="n">
        <v>2</v>
      </c>
      <c r="J13" s="12" t="s">
        <v>21</v>
      </c>
      <c r="K13" s="13" t="s">
        <v>22</v>
      </c>
      <c r="L13" s="18" t="s">
        <v>55</v>
      </c>
    </row>
    <row r="14" customFormat="false" ht="76.5" hidden="false" customHeight="true" outlineLevel="0" collapsed="false">
      <c r="A14" s="9" t="n">
        <v>1</v>
      </c>
      <c r="B14" s="9" t="s">
        <v>56</v>
      </c>
      <c r="C14" s="9" t="s">
        <v>57</v>
      </c>
      <c r="D14" s="9" t="s">
        <v>25</v>
      </c>
      <c r="E14" s="9" t="n">
        <v>2</v>
      </c>
      <c r="F14" s="17" t="s">
        <v>58</v>
      </c>
      <c r="G14" s="11" t="n">
        <v>46103</v>
      </c>
      <c r="H14" s="11" t="n">
        <v>46104</v>
      </c>
      <c r="I14" s="9" t="n">
        <v>2</v>
      </c>
      <c r="J14" s="12" t="s">
        <v>21</v>
      </c>
      <c r="K14" s="13" t="s">
        <v>22</v>
      </c>
      <c r="L14" s="18" t="s">
        <v>59</v>
      </c>
    </row>
    <row r="15" customFormat="false" ht="111" hidden="false" customHeight="true" outlineLevel="0" collapsed="false">
      <c r="A15" s="9" t="n">
        <v>1</v>
      </c>
      <c r="B15" s="9" t="s">
        <v>60</v>
      </c>
      <c r="C15" s="9" t="s">
        <v>61</v>
      </c>
      <c r="D15" s="9" t="s">
        <v>41</v>
      </c>
      <c r="E15" s="9" t="n">
        <v>3</v>
      </c>
      <c r="F15" s="10" t="s">
        <v>62</v>
      </c>
      <c r="G15" s="11" t="n">
        <v>46112</v>
      </c>
      <c r="H15" s="11" t="n">
        <v>46117</v>
      </c>
      <c r="I15" s="9" t="n">
        <v>3</v>
      </c>
      <c r="J15" s="12" t="s">
        <v>21</v>
      </c>
      <c r="K15" s="15" t="s">
        <v>22</v>
      </c>
      <c r="L15" s="14" t="s">
        <v>63</v>
      </c>
    </row>
    <row r="16" customFormat="false" ht="96" hidden="false" customHeight="true" outlineLevel="0" collapsed="false">
      <c r="A16" s="9" t="n">
        <v>1</v>
      </c>
      <c r="B16" s="9" t="s">
        <v>56</v>
      </c>
      <c r="C16" s="9" t="s">
        <v>64</v>
      </c>
      <c r="D16" s="9" t="s">
        <v>65</v>
      </c>
      <c r="E16" s="9" t="n">
        <v>3</v>
      </c>
      <c r="F16" s="17" t="s">
        <v>66</v>
      </c>
      <c r="G16" s="11" t="n">
        <v>46105</v>
      </c>
      <c r="H16" s="11" t="n">
        <v>46105</v>
      </c>
      <c r="I16" s="9" t="n">
        <v>3</v>
      </c>
      <c r="J16" s="12" t="s">
        <v>21</v>
      </c>
      <c r="K16" s="13" t="s">
        <v>22</v>
      </c>
      <c r="L16" s="14" t="s">
        <v>67</v>
      </c>
    </row>
    <row r="17" customFormat="false" ht="106.5" hidden="false" customHeight="true" outlineLevel="0" collapsed="false">
      <c r="A17" s="9" t="n">
        <v>1</v>
      </c>
      <c r="B17" s="9" t="s">
        <v>68</v>
      </c>
      <c r="C17" s="9" t="s">
        <v>69</v>
      </c>
      <c r="D17" s="9" t="s">
        <v>44</v>
      </c>
      <c r="E17" s="9" t="n">
        <v>2</v>
      </c>
      <c r="F17" s="17" t="s">
        <v>26</v>
      </c>
      <c r="G17" s="11" t="n">
        <v>46106</v>
      </c>
      <c r="H17" s="11" t="n">
        <v>46106</v>
      </c>
      <c r="I17" s="9" t="n">
        <v>2</v>
      </c>
      <c r="J17" s="12" t="s">
        <v>21</v>
      </c>
      <c r="K17" s="13" t="s">
        <v>22</v>
      </c>
      <c r="L17" s="14" t="s">
        <v>70</v>
      </c>
    </row>
    <row r="18" customFormat="false" ht="108.75" hidden="false" customHeight="true" outlineLevel="0" collapsed="false">
      <c r="A18" s="9" t="n">
        <v>1</v>
      </c>
      <c r="B18" s="9" t="s">
        <v>71</v>
      </c>
      <c r="C18" s="9" t="s">
        <v>72</v>
      </c>
      <c r="D18" s="9" t="s">
        <v>37</v>
      </c>
      <c r="E18" s="9" t="n">
        <v>2</v>
      </c>
      <c r="F18" s="17" t="s">
        <v>73</v>
      </c>
      <c r="G18" s="11" t="n">
        <v>46111</v>
      </c>
      <c r="H18" s="11" t="n">
        <v>46113</v>
      </c>
      <c r="I18" s="9" t="n">
        <v>2</v>
      </c>
      <c r="J18" s="12" t="s">
        <v>21</v>
      </c>
      <c r="K18" s="13" t="s">
        <v>22</v>
      </c>
      <c r="L18" s="14" t="s">
        <v>74</v>
      </c>
    </row>
    <row r="19" customFormat="false" ht="107.25" hidden="false" customHeight="true" outlineLevel="0" collapsed="false">
      <c r="A19" s="9" t="n">
        <v>1</v>
      </c>
      <c r="B19" s="9" t="s">
        <v>75</v>
      </c>
      <c r="C19" s="9" t="s">
        <v>76</v>
      </c>
      <c r="D19" s="9" t="s">
        <v>25</v>
      </c>
      <c r="E19" s="9" t="n">
        <v>2</v>
      </c>
      <c r="F19" s="17" t="s">
        <v>77</v>
      </c>
      <c r="G19" s="11" t="n">
        <v>46112</v>
      </c>
      <c r="H19" s="11" t="n">
        <v>46112</v>
      </c>
      <c r="I19" s="9" t="n">
        <v>2</v>
      </c>
      <c r="J19" s="12" t="s">
        <v>21</v>
      </c>
      <c r="K19" s="13" t="s">
        <v>22</v>
      </c>
      <c r="L19" s="14" t="s">
        <v>78</v>
      </c>
    </row>
    <row r="20" customFormat="false" ht="92.25" hidden="false" customHeight="true" outlineLevel="0" collapsed="false">
      <c r="A20" s="9" t="n">
        <v>1</v>
      </c>
      <c r="B20" s="9" t="s">
        <v>79</v>
      </c>
      <c r="C20" s="9" t="s">
        <v>80</v>
      </c>
      <c r="D20" s="9" t="s">
        <v>81</v>
      </c>
      <c r="E20" s="9" t="n">
        <v>3</v>
      </c>
      <c r="F20" s="17" t="s">
        <v>82</v>
      </c>
      <c r="G20" s="11" t="n">
        <v>46103</v>
      </c>
      <c r="H20" s="11" t="n">
        <v>46108</v>
      </c>
      <c r="I20" s="9" t="n">
        <v>3</v>
      </c>
      <c r="J20" s="12" t="s">
        <v>21</v>
      </c>
      <c r="K20" s="13" t="s">
        <v>22</v>
      </c>
      <c r="L20" s="14" t="s">
        <v>83</v>
      </c>
    </row>
    <row r="21" customFormat="false" ht="107.25" hidden="false" customHeight="true" outlineLevel="0" collapsed="false">
      <c r="A21" s="9" t="n">
        <v>1</v>
      </c>
      <c r="B21" s="9" t="s">
        <v>84</v>
      </c>
      <c r="C21" s="9" t="s">
        <v>85</v>
      </c>
      <c r="D21" s="9" t="s">
        <v>86</v>
      </c>
      <c r="E21" s="9" t="n">
        <v>3</v>
      </c>
      <c r="F21" s="17" t="s">
        <v>87</v>
      </c>
      <c r="G21" s="11" t="n">
        <v>46116</v>
      </c>
      <c r="H21" s="11" t="n">
        <v>46118</v>
      </c>
      <c r="I21" s="9" t="n">
        <v>3</v>
      </c>
      <c r="J21" s="12" t="s">
        <v>21</v>
      </c>
      <c r="K21" s="13" t="s">
        <v>22</v>
      </c>
      <c r="L21" s="14" t="s">
        <v>88</v>
      </c>
    </row>
    <row r="22" customFormat="false" ht="94.5" hidden="false" customHeight="true" outlineLevel="0" collapsed="false">
      <c r="A22" s="9" t="n">
        <v>1</v>
      </c>
      <c r="B22" s="9" t="s">
        <v>60</v>
      </c>
      <c r="C22" s="9" t="s">
        <v>89</v>
      </c>
      <c r="D22" s="9" t="s">
        <v>44</v>
      </c>
      <c r="E22" s="9" t="n">
        <v>2</v>
      </c>
      <c r="F22" s="17" t="s">
        <v>90</v>
      </c>
      <c r="G22" s="11" t="n">
        <v>46116</v>
      </c>
      <c r="H22" s="11" t="n">
        <v>46117</v>
      </c>
      <c r="I22" s="9" t="n">
        <v>2</v>
      </c>
      <c r="J22" s="12" t="s">
        <v>21</v>
      </c>
      <c r="K22" s="13" t="s">
        <v>22</v>
      </c>
      <c r="L22" s="14" t="s">
        <v>91</v>
      </c>
    </row>
    <row r="23" customFormat="false" ht="100.5" hidden="false" customHeight="true" outlineLevel="0" collapsed="false">
      <c r="A23" s="9" t="n">
        <v>1</v>
      </c>
      <c r="B23" s="9" t="s">
        <v>92</v>
      </c>
      <c r="C23" s="9" t="s">
        <v>93</v>
      </c>
      <c r="D23" s="9" t="s">
        <v>44</v>
      </c>
      <c r="E23" s="9" t="n">
        <v>1</v>
      </c>
      <c r="F23" s="17" t="s">
        <v>94</v>
      </c>
      <c r="G23" s="11" t="n">
        <v>46118</v>
      </c>
      <c r="H23" s="11" t="n">
        <v>46118</v>
      </c>
      <c r="I23" s="9" t="n">
        <v>1</v>
      </c>
      <c r="J23" s="12" t="s">
        <v>21</v>
      </c>
      <c r="K23" s="13" t="s">
        <v>22</v>
      </c>
      <c r="L23" s="14" t="s">
        <v>95</v>
      </c>
    </row>
    <row r="24" customFormat="false" ht="92.25" hidden="false" customHeight="true" outlineLevel="0" collapsed="false">
      <c r="A24" s="9" t="n">
        <v>1</v>
      </c>
      <c r="B24" s="9" t="s">
        <v>96</v>
      </c>
      <c r="C24" s="9" t="s">
        <v>97</v>
      </c>
      <c r="D24" s="9" t="s">
        <v>98</v>
      </c>
      <c r="E24" s="9" t="n">
        <v>8</v>
      </c>
      <c r="F24" s="17" t="s">
        <v>99</v>
      </c>
      <c r="G24" s="11" t="n">
        <v>46102</v>
      </c>
      <c r="H24" s="11" t="n">
        <v>46127</v>
      </c>
      <c r="I24" s="9" t="n">
        <v>8</v>
      </c>
      <c r="J24" s="12" t="s">
        <v>21</v>
      </c>
      <c r="K24" s="13" t="s">
        <v>22</v>
      </c>
      <c r="L24" s="14" t="s">
        <v>100</v>
      </c>
    </row>
    <row r="25" customFormat="false" ht="108.75" hidden="false" customHeight="true" outlineLevel="0" collapsed="false">
      <c r="A25" s="9" t="n">
        <v>1</v>
      </c>
      <c r="B25" s="9" t="s">
        <v>96</v>
      </c>
      <c r="C25" s="9" t="s">
        <v>101</v>
      </c>
      <c r="D25" s="9" t="s">
        <v>19</v>
      </c>
      <c r="E25" s="9" t="n">
        <v>1</v>
      </c>
      <c r="F25" s="17" t="s">
        <v>102</v>
      </c>
      <c r="G25" s="11" t="n">
        <v>46120</v>
      </c>
      <c r="H25" s="11" t="n">
        <v>46120</v>
      </c>
      <c r="I25" s="9" t="n">
        <v>1</v>
      </c>
      <c r="J25" s="12" t="s">
        <v>21</v>
      </c>
      <c r="K25" s="13" t="s">
        <v>22</v>
      </c>
      <c r="L25" s="14" t="s">
        <v>103</v>
      </c>
    </row>
    <row r="26" customFormat="false" ht="84" hidden="false" customHeight="true" outlineLevel="0" collapsed="false">
      <c r="A26" s="9" t="n">
        <v>1</v>
      </c>
      <c r="B26" s="9" t="s">
        <v>96</v>
      </c>
      <c r="C26" s="9" t="s">
        <v>104</v>
      </c>
      <c r="D26" s="9" t="s">
        <v>105</v>
      </c>
      <c r="E26" s="9" t="n">
        <v>6</v>
      </c>
      <c r="F26" s="17" t="s">
        <v>106</v>
      </c>
      <c r="G26" s="11" t="n">
        <v>46098</v>
      </c>
      <c r="H26" s="11" t="n">
        <v>46129</v>
      </c>
      <c r="I26" s="9" t="n">
        <v>6</v>
      </c>
      <c r="J26" s="12" t="s">
        <v>21</v>
      </c>
      <c r="K26" s="13" t="s">
        <v>22</v>
      </c>
      <c r="L26" s="14" t="s">
        <v>107</v>
      </c>
    </row>
    <row r="27" customFormat="false" ht="82.5" hidden="false" customHeight="true" outlineLevel="0" collapsed="false">
      <c r="A27" s="9" t="n">
        <v>1</v>
      </c>
      <c r="B27" s="9" t="s">
        <v>108</v>
      </c>
      <c r="C27" s="9" t="s">
        <v>109</v>
      </c>
      <c r="D27" s="9" t="s">
        <v>37</v>
      </c>
      <c r="E27" s="9" t="n">
        <v>5</v>
      </c>
      <c r="F27" s="17" t="s">
        <v>110</v>
      </c>
      <c r="G27" s="11" t="n">
        <v>46112</v>
      </c>
      <c r="H27" s="11" t="n">
        <v>46130</v>
      </c>
      <c r="I27" s="9" t="n">
        <v>5</v>
      </c>
      <c r="J27" s="12" t="s">
        <v>21</v>
      </c>
      <c r="K27" s="13" t="s">
        <v>22</v>
      </c>
      <c r="L27" s="14" t="s">
        <v>111</v>
      </c>
    </row>
    <row r="28" customFormat="false" ht="139.5" hidden="false" customHeight="true" outlineLevel="0" collapsed="false">
      <c r="A28" s="9" t="n">
        <v>1</v>
      </c>
      <c r="B28" s="9" t="s">
        <v>108</v>
      </c>
      <c r="C28" s="9" t="s">
        <v>112</v>
      </c>
      <c r="D28" s="9" t="s">
        <v>105</v>
      </c>
      <c r="E28" s="9" t="n">
        <v>5</v>
      </c>
      <c r="F28" s="17" t="s">
        <v>113</v>
      </c>
      <c r="G28" s="11" t="n">
        <v>46113</v>
      </c>
      <c r="H28" s="11" t="n">
        <v>46127</v>
      </c>
      <c r="I28" s="9" t="n">
        <v>5</v>
      </c>
      <c r="J28" s="12" t="s">
        <v>21</v>
      </c>
      <c r="K28" s="13" t="s">
        <v>22</v>
      </c>
      <c r="L28" s="14" t="s">
        <v>114</v>
      </c>
    </row>
    <row r="29" customFormat="false" ht="48.75" hidden="false" customHeight="true" outlineLevel="0" collapsed="false">
      <c r="A29" s="9" t="n">
        <v>1</v>
      </c>
      <c r="B29" s="9" t="s">
        <v>115</v>
      </c>
      <c r="C29" s="9" t="s">
        <v>116</v>
      </c>
      <c r="D29" s="9" t="s">
        <v>44</v>
      </c>
      <c r="E29" s="9" t="n">
        <v>3</v>
      </c>
      <c r="F29" s="10" t="s">
        <v>117</v>
      </c>
      <c r="G29" s="11" t="n">
        <v>46123</v>
      </c>
      <c r="H29" s="11" t="n">
        <v>46129</v>
      </c>
      <c r="I29" s="9" t="n">
        <v>3</v>
      </c>
      <c r="J29" s="12" t="s">
        <v>21</v>
      </c>
      <c r="K29" s="13" t="s">
        <v>22</v>
      </c>
      <c r="L29" s="14" t="s">
        <v>118</v>
      </c>
    </row>
    <row r="30" customFormat="false" ht="48.75" hidden="false" customHeight="true" outlineLevel="0" collapsed="false">
      <c r="A30" s="9" t="n">
        <v>1</v>
      </c>
      <c r="B30" s="9" t="s">
        <v>119</v>
      </c>
      <c r="C30" s="9" t="s">
        <v>120</v>
      </c>
      <c r="D30" s="9" t="s">
        <v>121</v>
      </c>
      <c r="E30" s="9" t="n">
        <v>3</v>
      </c>
      <c r="F30" s="10" t="s">
        <v>122</v>
      </c>
      <c r="G30" s="11" t="n">
        <v>46113</v>
      </c>
      <c r="H30" s="11" t="n">
        <v>46130</v>
      </c>
      <c r="I30" s="9" t="n">
        <v>3</v>
      </c>
      <c r="J30" s="12" t="s">
        <v>21</v>
      </c>
      <c r="K30" s="13" t="s">
        <v>22</v>
      </c>
      <c r="L30" s="14" t="s">
        <v>123</v>
      </c>
    </row>
    <row r="31" customFormat="false" ht="48.75" hidden="false" customHeight="true" outlineLevel="0" collapsed="false">
      <c r="A31" s="9" t="n">
        <v>1</v>
      </c>
      <c r="B31" s="9" t="s">
        <v>124</v>
      </c>
      <c r="C31" s="9" t="s">
        <v>125</v>
      </c>
      <c r="D31" s="9" t="s">
        <v>126</v>
      </c>
      <c r="E31" s="9" t="n">
        <v>2</v>
      </c>
      <c r="F31" s="10" t="s">
        <v>127</v>
      </c>
      <c r="G31" s="11" t="n">
        <v>46128</v>
      </c>
      <c r="H31" s="11" t="n">
        <v>46128</v>
      </c>
      <c r="I31" s="9" t="n">
        <v>2</v>
      </c>
      <c r="J31" s="12" t="s">
        <v>21</v>
      </c>
      <c r="K31" s="13" t="s">
        <v>22</v>
      </c>
      <c r="L31" s="14" t="s">
        <v>128</v>
      </c>
    </row>
    <row r="32" customFormat="false" ht="48.75" hidden="false" customHeight="true" outlineLevel="0" collapsed="false">
      <c r="A32" s="9" t="n">
        <v>1</v>
      </c>
      <c r="B32" s="9" t="s">
        <v>124</v>
      </c>
      <c r="C32" s="9" t="s">
        <v>129</v>
      </c>
      <c r="D32" s="9" t="s">
        <v>19</v>
      </c>
      <c r="E32" s="9" t="n">
        <v>3</v>
      </c>
      <c r="F32" s="10" t="s">
        <v>130</v>
      </c>
      <c r="G32" s="11" t="n">
        <v>46128</v>
      </c>
      <c r="H32" s="11" t="n">
        <v>46131</v>
      </c>
      <c r="I32" s="9" t="n">
        <v>3</v>
      </c>
      <c r="J32" s="12" t="s">
        <v>21</v>
      </c>
      <c r="K32" s="13" t="s">
        <v>22</v>
      </c>
      <c r="L32" s="14" t="s">
        <v>131</v>
      </c>
    </row>
    <row r="33" customFormat="false" ht="48.75" hidden="false" customHeight="true" outlineLevel="0" collapsed="false">
      <c r="A33" s="9" t="n">
        <v>1</v>
      </c>
      <c r="B33" s="9" t="s">
        <v>124</v>
      </c>
      <c r="C33" s="9" t="s">
        <v>132</v>
      </c>
      <c r="D33" s="9" t="s">
        <v>19</v>
      </c>
      <c r="E33" s="9" t="n">
        <v>1</v>
      </c>
      <c r="F33" s="10" t="s">
        <v>133</v>
      </c>
      <c r="G33" s="11" t="n">
        <v>46131</v>
      </c>
      <c r="H33" s="11" t="n">
        <v>46131</v>
      </c>
      <c r="I33" s="9" t="n">
        <v>1</v>
      </c>
      <c r="J33" s="12" t="s">
        <v>21</v>
      </c>
      <c r="K33" s="13" t="s">
        <v>22</v>
      </c>
      <c r="L33" s="14" t="s">
        <v>134</v>
      </c>
    </row>
    <row r="34" customFormat="false" ht="48.75" hidden="false" customHeight="true" outlineLevel="0" collapsed="false">
      <c r="A34" s="9" t="n">
        <v>1</v>
      </c>
      <c r="B34" s="9" t="s">
        <v>124</v>
      </c>
      <c r="C34" s="9" t="s">
        <v>135</v>
      </c>
      <c r="D34" s="9" t="s">
        <v>25</v>
      </c>
      <c r="E34" s="9" t="n">
        <v>2</v>
      </c>
      <c r="F34" s="10" t="s">
        <v>136</v>
      </c>
      <c r="G34" s="11" t="n">
        <v>46132</v>
      </c>
      <c r="H34" s="11" t="n">
        <v>46133</v>
      </c>
      <c r="I34" s="9" t="n">
        <v>2</v>
      </c>
      <c r="J34" s="12" t="s">
        <v>21</v>
      </c>
      <c r="K34" s="13" t="s">
        <v>22</v>
      </c>
      <c r="L34" s="14" t="s">
        <v>137</v>
      </c>
    </row>
    <row r="35" customFormat="false" ht="48.75" hidden="false" customHeight="true" outlineLevel="0" collapsed="false">
      <c r="A35" s="9" t="n">
        <v>1</v>
      </c>
      <c r="B35" s="9" t="s">
        <v>124</v>
      </c>
      <c r="C35" s="9" t="s">
        <v>138</v>
      </c>
      <c r="D35" s="9" t="s">
        <v>25</v>
      </c>
      <c r="E35" s="9" t="n">
        <v>1</v>
      </c>
      <c r="F35" s="10" t="s">
        <v>139</v>
      </c>
      <c r="G35" s="11" t="n">
        <v>46134</v>
      </c>
      <c r="H35" s="11" t="n">
        <v>46134</v>
      </c>
      <c r="I35" s="9" t="n">
        <v>1</v>
      </c>
      <c r="J35" s="12" t="s">
        <v>21</v>
      </c>
      <c r="K35" s="13" t="s">
        <v>22</v>
      </c>
      <c r="L35" s="14" t="s">
        <v>140</v>
      </c>
    </row>
  </sheetData>
  <mergeCells count="4">
    <mergeCell ref="A1:I1"/>
    <mergeCell ref="A2:E2"/>
    <mergeCell ref="G2:I2"/>
    <mergeCell ref="J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8" min="3" style="1" width="16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20" t="s">
        <v>141</v>
      </c>
      <c r="B1" s="20"/>
      <c r="C1" s="20"/>
      <c r="D1" s="20"/>
      <c r="E1" s="20"/>
      <c r="F1" s="20"/>
      <c r="G1" s="20"/>
      <c r="H1" s="20"/>
    </row>
    <row r="2" customFormat="false" ht="15" hidden="false" customHeight="true" outlineLevel="0" collapsed="false">
      <c r="A2" s="21" t="s">
        <v>142</v>
      </c>
      <c r="B2" s="21"/>
      <c r="C2" s="21"/>
      <c r="D2" s="21"/>
      <c r="E2" s="21"/>
      <c r="F2" s="21"/>
      <c r="G2" s="21"/>
      <c r="H2" s="21"/>
    </row>
    <row r="4" customFormat="false" ht="26.25" hidden="false" customHeight="true" outlineLevel="0" collapsed="false">
      <c r="A4" s="22" t="s">
        <v>143</v>
      </c>
      <c r="B4" s="22" t="s">
        <v>144</v>
      </c>
      <c r="C4" s="22" t="s">
        <v>145</v>
      </c>
      <c r="D4" s="22" t="s">
        <v>146</v>
      </c>
      <c r="E4" s="22" t="s">
        <v>147</v>
      </c>
      <c r="F4" s="22" t="s">
        <v>148</v>
      </c>
      <c r="G4" s="22" t="s">
        <v>149</v>
      </c>
      <c r="H4" s="22" t="s">
        <v>150</v>
      </c>
      <c r="J4" s="23" t="s">
        <v>151</v>
      </c>
      <c r="K4" s="24" t="n">
        <f aca="false">SUM(Seguimiento_Sprint!E4:E35)</f>
        <v>86</v>
      </c>
    </row>
    <row r="5" customFormat="false" ht="15" hidden="false" customHeight="true" outlineLevel="0" collapsed="false">
      <c r="A5" s="25" t="n">
        <v>1</v>
      </c>
      <c r="B5" s="26" t="n">
        <v>46098</v>
      </c>
      <c r="C5" s="27" t="n">
        <v>2</v>
      </c>
      <c r="D5" s="27" t="n">
        <v>2</v>
      </c>
      <c r="E5" s="27" t="n">
        <f aca="false">C5</f>
        <v>2</v>
      </c>
      <c r="F5" s="27" t="n">
        <f aca="false">D5</f>
        <v>2</v>
      </c>
      <c r="G5" s="27" t="n">
        <f aca="false">$K$4-E5</f>
        <v>84</v>
      </c>
      <c r="H5" s="27" t="n">
        <f aca="false">$K$4-F5</f>
        <v>84</v>
      </c>
    </row>
    <row r="6" customFormat="false" ht="15" hidden="false" customHeight="true" outlineLevel="0" collapsed="false">
      <c r="A6" s="25" t="n">
        <v>2</v>
      </c>
      <c r="B6" s="26" t="n">
        <v>46099</v>
      </c>
      <c r="C6" s="27" t="n">
        <v>0</v>
      </c>
      <c r="D6" s="27" t="n">
        <v>0</v>
      </c>
      <c r="E6" s="27" t="n">
        <f aca="false">E5+C6</f>
        <v>2</v>
      </c>
      <c r="F6" s="27" t="n">
        <f aca="false">F5+D6</f>
        <v>2</v>
      </c>
      <c r="G6" s="27" t="n">
        <f aca="false">$K$4-E6</f>
        <v>84</v>
      </c>
      <c r="H6" s="27" t="n">
        <f aca="false">$K$4-F6</f>
        <v>84</v>
      </c>
    </row>
    <row r="7" customFormat="false" ht="15" hidden="false" customHeight="true" outlineLevel="0" collapsed="false">
      <c r="A7" s="25" t="n">
        <v>3</v>
      </c>
      <c r="B7" s="26" t="n">
        <v>46100</v>
      </c>
      <c r="C7" s="27" t="n">
        <v>0</v>
      </c>
      <c r="D7" s="27" t="n">
        <v>0</v>
      </c>
      <c r="E7" s="27" t="n">
        <f aca="false">E6+C7</f>
        <v>2</v>
      </c>
      <c r="F7" s="27" t="n">
        <f aca="false">F6+D7</f>
        <v>2</v>
      </c>
      <c r="G7" s="27" t="n">
        <f aca="false">$K$4-E7</f>
        <v>84</v>
      </c>
      <c r="H7" s="27" t="n">
        <f aca="false">$K$4-F7</f>
        <v>84</v>
      </c>
    </row>
    <row r="8" customFormat="false" ht="15" hidden="false" customHeight="true" outlineLevel="0" collapsed="false">
      <c r="A8" s="25" t="n">
        <v>4</v>
      </c>
      <c r="B8" s="26" t="n">
        <v>46101</v>
      </c>
      <c r="C8" s="27" t="n">
        <v>0</v>
      </c>
      <c r="D8" s="27" t="n">
        <v>0</v>
      </c>
      <c r="E8" s="27" t="n">
        <f aca="false">E7+C8</f>
        <v>2</v>
      </c>
      <c r="F8" s="27" t="n">
        <f aca="false">F7+D8</f>
        <v>2</v>
      </c>
      <c r="G8" s="27" t="n">
        <f aca="false">$K$4-E8</f>
        <v>84</v>
      </c>
      <c r="H8" s="27" t="n">
        <f aca="false">$K$4-F8</f>
        <v>84</v>
      </c>
    </row>
    <row r="9" customFormat="false" ht="15" hidden="false" customHeight="true" outlineLevel="0" collapsed="false">
      <c r="A9" s="25" t="n">
        <v>5</v>
      </c>
      <c r="B9" s="26" t="n">
        <v>46102</v>
      </c>
      <c r="C9" s="27" t="n">
        <v>4</v>
      </c>
      <c r="D9" s="27" t="n">
        <v>4</v>
      </c>
      <c r="E9" s="27" t="n">
        <f aca="false">E8+C9</f>
        <v>6</v>
      </c>
      <c r="F9" s="27" t="n">
        <f aca="false">F8+D9</f>
        <v>6</v>
      </c>
      <c r="G9" s="27" t="n">
        <f aca="false">$K$4-E9</f>
        <v>80</v>
      </c>
      <c r="H9" s="27" t="n">
        <f aca="false">$K$4-F9</f>
        <v>80</v>
      </c>
    </row>
    <row r="10" customFormat="false" ht="15" hidden="false" customHeight="true" outlineLevel="0" collapsed="false">
      <c r="A10" s="25" t="n">
        <v>6</v>
      </c>
      <c r="B10" s="26" t="n">
        <v>46103</v>
      </c>
      <c r="C10" s="27" t="n">
        <v>2</v>
      </c>
      <c r="D10" s="27" t="n">
        <v>2</v>
      </c>
      <c r="E10" s="27" t="n">
        <f aca="false">E9+C10</f>
        <v>8</v>
      </c>
      <c r="F10" s="27" t="n">
        <f aca="false">F9+D10</f>
        <v>8</v>
      </c>
      <c r="G10" s="27" t="n">
        <f aca="false">$K$4-E10</f>
        <v>78</v>
      </c>
      <c r="H10" s="27" t="n">
        <f aca="false">$K$4-F10</f>
        <v>78</v>
      </c>
    </row>
    <row r="11" customFormat="false" ht="15" hidden="false" customHeight="true" outlineLevel="0" collapsed="false">
      <c r="A11" s="25" t="n">
        <v>7</v>
      </c>
      <c r="B11" s="26" t="n">
        <v>46104</v>
      </c>
      <c r="C11" s="27" t="n">
        <v>3</v>
      </c>
      <c r="D11" s="27" t="n">
        <v>3</v>
      </c>
      <c r="E11" s="27" t="n">
        <f aca="false">E10+C11</f>
        <v>11</v>
      </c>
      <c r="F11" s="27" t="n">
        <f aca="false">F10+D11</f>
        <v>11</v>
      </c>
      <c r="G11" s="27" t="n">
        <f aca="false">$K$4-E11</f>
        <v>75</v>
      </c>
      <c r="H11" s="27" t="n">
        <f aca="false">$K$4-F11</f>
        <v>75</v>
      </c>
    </row>
    <row r="12" customFormat="false" ht="15" hidden="false" customHeight="true" outlineLevel="0" collapsed="false">
      <c r="A12" s="25" t="n">
        <v>8</v>
      </c>
      <c r="B12" s="26" t="n">
        <v>46105</v>
      </c>
      <c r="C12" s="27" t="n">
        <v>4</v>
      </c>
      <c r="D12" s="27" t="n">
        <v>4</v>
      </c>
      <c r="E12" s="27" t="n">
        <f aca="false">E11+C12</f>
        <v>15</v>
      </c>
      <c r="F12" s="27" t="n">
        <f aca="false">F11+D12</f>
        <v>15</v>
      </c>
      <c r="G12" s="27" t="n">
        <f aca="false">$K$4-E12</f>
        <v>71</v>
      </c>
      <c r="H12" s="27" t="n">
        <f aca="false">$K$4-F12</f>
        <v>71</v>
      </c>
    </row>
    <row r="13" customFormat="false" ht="15" hidden="false" customHeight="true" outlineLevel="0" collapsed="false">
      <c r="A13" s="25" t="n">
        <v>9</v>
      </c>
      <c r="B13" s="26" t="n">
        <v>46106</v>
      </c>
      <c r="C13" s="27" t="n">
        <v>7</v>
      </c>
      <c r="D13" s="27" t="n">
        <v>7</v>
      </c>
      <c r="E13" s="27" t="n">
        <f aca="false">E12+C13</f>
        <v>22</v>
      </c>
      <c r="F13" s="27" t="n">
        <f aca="false">F12+D13</f>
        <v>22</v>
      </c>
      <c r="G13" s="27" t="n">
        <f aca="false">$K$4-E13</f>
        <v>64</v>
      </c>
      <c r="H13" s="27" t="n">
        <f aca="false">$K$4-F13</f>
        <v>64</v>
      </c>
    </row>
    <row r="14" customFormat="false" ht="15" hidden="false" customHeight="true" outlineLevel="0" collapsed="false">
      <c r="A14" s="25" t="n">
        <v>10</v>
      </c>
      <c r="B14" s="26" t="n">
        <v>46107</v>
      </c>
      <c r="C14" s="27" t="n">
        <v>1</v>
      </c>
      <c r="D14" s="27" t="n">
        <v>1</v>
      </c>
      <c r="E14" s="27" t="n">
        <f aca="false">E13+C14</f>
        <v>23</v>
      </c>
      <c r="F14" s="27" t="n">
        <f aca="false">F13+D14</f>
        <v>23</v>
      </c>
      <c r="G14" s="27" t="n">
        <f aca="false">$K$4-E14</f>
        <v>63</v>
      </c>
      <c r="H14" s="27" t="n">
        <f aca="false">$K$4-F14</f>
        <v>63</v>
      </c>
    </row>
    <row r="15" customFormat="false" ht="15" hidden="false" customHeight="true" outlineLevel="0" collapsed="false">
      <c r="A15" s="25" t="n">
        <v>11</v>
      </c>
      <c r="B15" s="26" t="n">
        <v>46108</v>
      </c>
      <c r="C15" s="27" t="n">
        <v>4.3333</v>
      </c>
      <c r="D15" s="27" t="n">
        <v>4.5</v>
      </c>
      <c r="E15" s="27" t="n">
        <f aca="false">E14+C15</f>
        <v>27.3333</v>
      </c>
      <c r="F15" s="27" t="n">
        <f aca="false">F14+D15</f>
        <v>27.5</v>
      </c>
      <c r="G15" s="27" t="n">
        <f aca="false">$K$4-E15</f>
        <v>58.6667</v>
      </c>
      <c r="H15" s="27" t="n">
        <f aca="false">$K$4-F15</f>
        <v>58.5</v>
      </c>
    </row>
    <row r="16" customFormat="false" ht="15" hidden="false" customHeight="true" outlineLevel="0" collapsed="false">
      <c r="A16" s="25" t="n">
        <v>12</v>
      </c>
      <c r="B16" s="26" t="n">
        <v>46109</v>
      </c>
      <c r="C16" s="27" t="n">
        <v>2</v>
      </c>
      <c r="D16" s="27" t="n">
        <v>2</v>
      </c>
      <c r="E16" s="27" t="n">
        <f aca="false">E15+C16</f>
        <v>29.3333</v>
      </c>
      <c r="F16" s="27" t="n">
        <f aca="false">F15+D16</f>
        <v>29.5</v>
      </c>
      <c r="G16" s="27" t="n">
        <f aca="false">$K$4-E16</f>
        <v>56.6667</v>
      </c>
      <c r="H16" s="27" t="n">
        <f aca="false">$K$4-F16</f>
        <v>56.5</v>
      </c>
    </row>
    <row r="17" customFormat="false" ht="15" hidden="false" customHeight="true" outlineLevel="0" collapsed="false">
      <c r="A17" s="25" t="n">
        <v>13</v>
      </c>
      <c r="B17" s="26" t="n">
        <v>46110</v>
      </c>
      <c r="C17" s="27" t="n">
        <v>0</v>
      </c>
      <c r="D17" s="27" t="n">
        <v>0</v>
      </c>
      <c r="E17" s="27" t="n">
        <f aca="false">E16+C17</f>
        <v>29.3333</v>
      </c>
      <c r="F17" s="27" t="n">
        <f aca="false">F16+D17</f>
        <v>29.5</v>
      </c>
      <c r="G17" s="27" t="n">
        <f aca="false">$K$4-E17</f>
        <v>56.6667</v>
      </c>
      <c r="H17" s="27" t="n">
        <f aca="false">$K$4-F17</f>
        <v>56.5</v>
      </c>
    </row>
    <row r="18" customFormat="false" ht="15" hidden="false" customHeight="true" outlineLevel="0" collapsed="false">
      <c r="A18" s="25" t="n">
        <v>14</v>
      </c>
      <c r="B18" s="26" t="n">
        <v>46111</v>
      </c>
      <c r="C18" s="27" t="n">
        <v>2.3333</v>
      </c>
      <c r="D18" s="27" t="n">
        <v>2.5</v>
      </c>
      <c r="E18" s="27" t="n">
        <f aca="false">E17+C18</f>
        <v>31.6666</v>
      </c>
      <c r="F18" s="27" t="n">
        <f aca="false">F17+D18</f>
        <v>32</v>
      </c>
      <c r="G18" s="27" t="n">
        <f aca="false">$K$4-E18</f>
        <v>54.3334</v>
      </c>
      <c r="H18" s="27" t="n">
        <f aca="false">$K$4-F18</f>
        <v>54</v>
      </c>
    </row>
    <row r="19" customFormat="false" ht="15" hidden="false" customHeight="true" outlineLevel="0" collapsed="false">
      <c r="A19" s="25" t="n">
        <v>15</v>
      </c>
      <c r="B19" s="26" t="n">
        <v>46112</v>
      </c>
      <c r="C19" s="27" t="n">
        <v>7.6667</v>
      </c>
      <c r="D19" s="27" t="n">
        <v>7.5</v>
      </c>
      <c r="E19" s="27" t="n">
        <f aca="false">E18+C19</f>
        <v>39.3333</v>
      </c>
      <c r="F19" s="27" t="n">
        <f aca="false">F18+D19</f>
        <v>39.5</v>
      </c>
      <c r="G19" s="27" t="n">
        <f aca="false">$K$4-E19</f>
        <v>46.6667</v>
      </c>
      <c r="H19" s="27" t="n">
        <f aca="false">$K$4-F19</f>
        <v>46.5</v>
      </c>
    </row>
    <row r="20" customFormat="false" ht="15" hidden="false" customHeight="true" outlineLevel="0" collapsed="false">
      <c r="A20" s="25" t="n">
        <v>16</v>
      </c>
      <c r="B20" s="26" t="n">
        <v>46113</v>
      </c>
      <c r="C20" s="27" t="n">
        <v>8.5</v>
      </c>
      <c r="D20" s="27" t="n">
        <v>8</v>
      </c>
      <c r="E20" s="27" t="n">
        <f aca="false">E19+C20</f>
        <v>47.8333</v>
      </c>
      <c r="F20" s="27" t="n">
        <f aca="false">F19+D20</f>
        <v>47.5</v>
      </c>
      <c r="G20" s="27" t="n">
        <f aca="false">$K$4-E20</f>
        <v>38.1667</v>
      </c>
      <c r="H20" s="27" t="n">
        <f aca="false">$K$4-F20</f>
        <v>38.5</v>
      </c>
    </row>
    <row r="21" customFormat="false" ht="15" hidden="false" customHeight="true" outlineLevel="0" collapsed="false">
      <c r="A21" s="25" t="n">
        <v>17</v>
      </c>
      <c r="B21" s="26" t="n">
        <v>46114</v>
      </c>
      <c r="C21" s="27" t="n">
        <v>1</v>
      </c>
      <c r="D21" s="27" t="n">
        <v>1</v>
      </c>
      <c r="E21" s="27" t="n">
        <f aca="false">E20+C21</f>
        <v>48.8333</v>
      </c>
      <c r="F21" s="27" t="n">
        <f aca="false">F20+D21</f>
        <v>48.5</v>
      </c>
      <c r="G21" s="27" t="n">
        <f aca="false">$K$4-E21</f>
        <v>37.1667</v>
      </c>
      <c r="H21" s="27" t="n">
        <f aca="false">$K$4-F21</f>
        <v>37.5</v>
      </c>
    </row>
    <row r="22" customFormat="false" ht="15" hidden="false" customHeight="true" outlineLevel="0" collapsed="false">
      <c r="A22" s="25" t="n">
        <v>18</v>
      </c>
      <c r="B22" s="26" t="n">
        <v>46115</v>
      </c>
      <c r="C22" s="27" t="n">
        <v>1</v>
      </c>
      <c r="D22" s="27" t="n">
        <v>1</v>
      </c>
      <c r="E22" s="27" t="n">
        <f aca="false">E21+C22</f>
        <v>49.8333</v>
      </c>
      <c r="F22" s="27" t="n">
        <f aca="false">F21+D22</f>
        <v>49.5</v>
      </c>
      <c r="G22" s="27" t="n">
        <f aca="false">$K$4-E22</f>
        <v>36.1667</v>
      </c>
      <c r="H22" s="27" t="n">
        <f aca="false">$K$4-F22</f>
        <v>36.5</v>
      </c>
    </row>
    <row r="23" customFormat="false" ht="15" hidden="false" customHeight="true" outlineLevel="0" collapsed="false">
      <c r="A23" s="25" t="n">
        <v>19</v>
      </c>
      <c r="B23" s="26" t="n">
        <v>46116</v>
      </c>
      <c r="C23" s="27" t="n">
        <v>2.5</v>
      </c>
      <c r="D23" s="27" t="n">
        <v>2</v>
      </c>
      <c r="E23" s="27" t="n">
        <f aca="false">E22+C23</f>
        <v>52.3333</v>
      </c>
      <c r="F23" s="27" t="n">
        <f aca="false">F22+D23</f>
        <v>51.5</v>
      </c>
      <c r="G23" s="27" t="n">
        <f aca="false">$K$4-E23</f>
        <v>33.6667</v>
      </c>
      <c r="H23" s="27" t="n">
        <f aca="false">$K$4-F23</f>
        <v>34.5</v>
      </c>
    </row>
    <row r="24" customFormat="false" ht="15" hidden="false" customHeight="true" outlineLevel="0" collapsed="false">
      <c r="A24" s="25" t="n">
        <v>20</v>
      </c>
      <c r="B24" s="26" t="n">
        <v>46117</v>
      </c>
      <c r="C24" s="27" t="n">
        <v>4</v>
      </c>
      <c r="D24" s="27" t="n">
        <v>4</v>
      </c>
      <c r="E24" s="27" t="n">
        <f aca="false">E23+C24</f>
        <v>56.3333</v>
      </c>
      <c r="F24" s="27" t="n">
        <f aca="false">F23+D24</f>
        <v>55.5</v>
      </c>
      <c r="G24" s="27" t="n">
        <f aca="false">$K$4-E24</f>
        <v>29.6667</v>
      </c>
      <c r="H24" s="27" t="n">
        <f aca="false">$K$4-F24</f>
        <v>30.5</v>
      </c>
    </row>
    <row r="25" customFormat="false" ht="15" hidden="false" customHeight="true" outlineLevel="0" collapsed="false">
      <c r="A25" s="25" t="n">
        <v>21</v>
      </c>
      <c r="B25" s="26" t="n">
        <v>46118</v>
      </c>
      <c r="C25" s="27" t="n">
        <v>2.5</v>
      </c>
      <c r="D25" s="27" t="n">
        <v>3</v>
      </c>
      <c r="E25" s="27" t="n">
        <f aca="false">E24+C25</f>
        <v>58.8333</v>
      </c>
      <c r="F25" s="27" t="n">
        <f aca="false">F24+D25</f>
        <v>58.5</v>
      </c>
      <c r="G25" s="27" t="n">
        <f aca="false">$K$4-E25</f>
        <v>27.1667</v>
      </c>
      <c r="H25" s="27" t="n">
        <f aca="false">$K$4-F25</f>
        <v>27.5</v>
      </c>
    </row>
    <row r="26" customFormat="false" ht="15" hidden="false" customHeight="true" outlineLevel="0" collapsed="false">
      <c r="A26" s="25" t="n">
        <v>22</v>
      </c>
      <c r="B26" s="26" t="n">
        <v>46119</v>
      </c>
      <c r="C26" s="27" t="n">
        <v>0</v>
      </c>
      <c r="D26" s="27" t="n">
        <v>0</v>
      </c>
      <c r="E26" s="27" t="n">
        <f aca="false">E25+C26</f>
        <v>58.8333</v>
      </c>
      <c r="F26" s="27" t="n">
        <f aca="false">F25+D26</f>
        <v>58.5</v>
      </c>
      <c r="G26" s="27" t="n">
        <f aca="false">$K$4-E26</f>
        <v>27.1667</v>
      </c>
      <c r="H26" s="27" t="n">
        <f aca="false">$K$4-F26</f>
        <v>27.5</v>
      </c>
    </row>
    <row r="27" customFormat="false" ht="15" hidden="false" customHeight="true" outlineLevel="0" collapsed="false">
      <c r="A27" s="25" t="n">
        <v>23</v>
      </c>
      <c r="B27" s="26" t="n">
        <v>46120</v>
      </c>
      <c r="C27" s="27" t="n">
        <v>4.6667</v>
      </c>
      <c r="D27" s="27" t="n">
        <v>4.5</v>
      </c>
      <c r="E27" s="27" t="n">
        <f aca="false">E26+C27</f>
        <v>63.5</v>
      </c>
      <c r="F27" s="27" t="n">
        <f aca="false">F26+D27</f>
        <v>63</v>
      </c>
      <c r="G27" s="27" t="n">
        <f aca="false">$K$4-E27</f>
        <v>22.5</v>
      </c>
      <c r="H27" s="27" t="n">
        <f aca="false">$K$4-F27</f>
        <v>23</v>
      </c>
    </row>
    <row r="28" customFormat="false" ht="15" hidden="false" customHeight="true" outlineLevel="0" collapsed="false">
      <c r="A28" s="25" t="n">
        <v>24</v>
      </c>
      <c r="B28" s="26" t="n">
        <v>46121</v>
      </c>
      <c r="C28" s="27" t="n">
        <v>0</v>
      </c>
      <c r="D28" s="27" t="n">
        <v>0</v>
      </c>
      <c r="E28" s="27" t="n">
        <f aca="false">E27+C28</f>
        <v>63.5</v>
      </c>
      <c r="F28" s="27" t="n">
        <f aca="false">F27+D28</f>
        <v>63</v>
      </c>
      <c r="G28" s="27" t="n">
        <f aca="false">$K$4-E28</f>
        <v>22.5</v>
      </c>
      <c r="H28" s="27" t="n">
        <f aca="false">$K$4-F28</f>
        <v>23</v>
      </c>
    </row>
    <row r="29" customFormat="false" ht="15" hidden="false" customHeight="true" outlineLevel="0" collapsed="false">
      <c r="A29" s="25" t="n">
        <v>25</v>
      </c>
      <c r="B29" s="26" t="n">
        <v>46122</v>
      </c>
      <c r="C29" s="27" t="n">
        <v>1.6667</v>
      </c>
      <c r="D29" s="27" t="n">
        <v>2</v>
      </c>
      <c r="E29" s="27" t="n">
        <f aca="false">E28+C29</f>
        <v>65.1667</v>
      </c>
      <c r="F29" s="27" t="n">
        <f aca="false">F28+D29</f>
        <v>65</v>
      </c>
      <c r="G29" s="27" t="n">
        <f aca="false">$K$4-E29</f>
        <v>20.8333</v>
      </c>
      <c r="H29" s="27" t="n">
        <f aca="false">$K$4-F29</f>
        <v>21</v>
      </c>
    </row>
    <row r="30" customFormat="false" ht="15" hidden="false" customHeight="true" outlineLevel="0" collapsed="false">
      <c r="A30" s="25" t="n">
        <v>26</v>
      </c>
      <c r="B30" s="26" t="n">
        <v>46123</v>
      </c>
      <c r="C30" s="27" t="n">
        <v>1.5</v>
      </c>
      <c r="D30" s="27" t="n">
        <v>1.5</v>
      </c>
      <c r="E30" s="27" t="n">
        <f aca="false">E29+C30</f>
        <v>66.6667</v>
      </c>
      <c r="F30" s="27" t="n">
        <f aca="false">F29+D30</f>
        <v>66.5</v>
      </c>
      <c r="G30" s="27" t="n">
        <f aca="false">$K$4-E30</f>
        <v>19.3333</v>
      </c>
      <c r="H30" s="27" t="n">
        <f aca="false">$K$4-F30</f>
        <v>19.5</v>
      </c>
    </row>
    <row r="31" customFormat="false" ht="15" hidden="false" customHeight="true" outlineLevel="0" collapsed="false">
      <c r="A31" s="25" t="n">
        <v>27</v>
      </c>
      <c r="B31" s="26" t="n">
        <v>46124</v>
      </c>
      <c r="C31" s="27" t="n">
        <v>0</v>
      </c>
      <c r="D31" s="27" t="n">
        <v>0</v>
      </c>
      <c r="E31" s="27" t="n">
        <f aca="false">E30+C31</f>
        <v>66.6667</v>
      </c>
      <c r="F31" s="27" t="n">
        <f aca="false">F30+D31</f>
        <v>66.5</v>
      </c>
      <c r="G31" s="27" t="n">
        <f aca="false">$K$4-E31</f>
        <v>19.3333</v>
      </c>
      <c r="H31" s="27" t="n">
        <f aca="false">$K$4-F31</f>
        <v>19.5</v>
      </c>
    </row>
    <row r="32" customFormat="false" ht="15" hidden="false" customHeight="true" outlineLevel="0" collapsed="false">
      <c r="A32" s="25" t="n">
        <v>28</v>
      </c>
      <c r="B32" s="26" t="n">
        <v>46125</v>
      </c>
      <c r="C32" s="27" t="n">
        <v>0</v>
      </c>
      <c r="D32" s="27" t="n">
        <v>0</v>
      </c>
      <c r="E32" s="27" t="n">
        <f aca="false">E31+C32</f>
        <v>66.6667</v>
      </c>
      <c r="F32" s="27" t="n">
        <f aca="false">F31+D32</f>
        <v>66.5</v>
      </c>
      <c r="G32" s="27" t="n">
        <f aca="false">$K$4-E32</f>
        <v>19.3333</v>
      </c>
      <c r="H32" s="27" t="n">
        <f aca="false">$K$4-F32</f>
        <v>19.5</v>
      </c>
    </row>
    <row r="33" customFormat="false" ht="15" hidden="false" customHeight="true" outlineLevel="0" collapsed="false">
      <c r="A33" s="25" t="n">
        <v>29</v>
      </c>
      <c r="B33" s="26" t="n">
        <v>46126</v>
      </c>
      <c r="C33" s="27" t="n">
        <v>0</v>
      </c>
      <c r="D33" s="27" t="n">
        <v>0</v>
      </c>
      <c r="E33" s="27" t="n">
        <f aca="false">E32+C33</f>
        <v>66.6667</v>
      </c>
      <c r="F33" s="27" t="n">
        <f aca="false">F32+D33</f>
        <v>66.5</v>
      </c>
      <c r="G33" s="27" t="n">
        <f aca="false">$K$4-E33</f>
        <v>19.3333</v>
      </c>
      <c r="H33" s="27" t="n">
        <f aca="false">$K$4-F33</f>
        <v>19.5</v>
      </c>
    </row>
    <row r="34" customFormat="false" ht="15" hidden="false" customHeight="true" outlineLevel="0" collapsed="false">
      <c r="A34" s="25" t="n">
        <v>30</v>
      </c>
      <c r="B34" s="26" t="n">
        <v>46127</v>
      </c>
      <c r="C34" s="27" t="n">
        <v>3.6667</v>
      </c>
      <c r="D34" s="27" t="n">
        <v>3.5</v>
      </c>
      <c r="E34" s="27" t="n">
        <f aca="false">E33+C34</f>
        <v>70.3334</v>
      </c>
      <c r="F34" s="27" t="n">
        <f aca="false">F33+D34</f>
        <v>70</v>
      </c>
      <c r="G34" s="27" t="n">
        <f aca="false">$K$4-E34</f>
        <v>15.6666</v>
      </c>
      <c r="H34" s="27" t="n">
        <f aca="false">$K$4-F34</f>
        <v>16</v>
      </c>
    </row>
    <row r="35" customFormat="false" ht="15" hidden="false" customHeight="true" outlineLevel="0" collapsed="false">
      <c r="A35" s="25" t="n">
        <v>31</v>
      </c>
      <c r="B35" s="26" t="n">
        <v>46128</v>
      </c>
      <c r="C35" s="27" t="n">
        <v>3.5</v>
      </c>
      <c r="D35" s="27" t="n">
        <v>3</v>
      </c>
      <c r="E35" s="27" t="n">
        <f aca="false">E34+C35</f>
        <v>73.8334</v>
      </c>
      <c r="F35" s="27" t="n">
        <f aca="false">F34+D35</f>
        <v>73</v>
      </c>
      <c r="G35" s="27" t="n">
        <f aca="false">$K$4-E35</f>
        <v>12.1666</v>
      </c>
      <c r="H35" s="27" t="n">
        <f aca="false">$K$4-F35</f>
        <v>13</v>
      </c>
    </row>
    <row r="36" customFormat="false" ht="15" hidden="false" customHeight="true" outlineLevel="0" collapsed="false">
      <c r="A36" s="25" t="n">
        <v>32</v>
      </c>
      <c r="B36" s="26" t="n">
        <v>46129</v>
      </c>
      <c r="C36" s="27" t="n">
        <v>3.5</v>
      </c>
      <c r="D36" s="27" t="n">
        <v>3.5</v>
      </c>
      <c r="E36" s="27" t="n">
        <f aca="false">E35+C36</f>
        <v>77.3334</v>
      </c>
      <c r="F36" s="27" t="n">
        <f aca="false">F35+D36</f>
        <v>76.5</v>
      </c>
      <c r="G36" s="27" t="n">
        <f aca="false">$K$4-E36</f>
        <v>8.66659999999999</v>
      </c>
      <c r="H36" s="27" t="n">
        <f aca="false">$K$4-F36</f>
        <v>9.5</v>
      </c>
    </row>
    <row r="37" customFormat="false" ht="15" hidden="false" customHeight="true" outlineLevel="0" collapsed="false">
      <c r="A37" s="25" t="n">
        <v>33</v>
      </c>
      <c r="B37" s="26" t="n">
        <v>46130</v>
      </c>
      <c r="C37" s="27" t="n">
        <v>3.1667</v>
      </c>
      <c r="D37" s="27" t="n">
        <v>3.5</v>
      </c>
      <c r="E37" s="27" t="n">
        <f aca="false">E36+C37</f>
        <v>80.5001</v>
      </c>
      <c r="F37" s="27" t="n">
        <f aca="false">F36+D37</f>
        <v>80</v>
      </c>
      <c r="G37" s="27" t="n">
        <f aca="false">$K$4-E37</f>
        <v>5.49989999999998</v>
      </c>
      <c r="H37" s="27" t="n">
        <f aca="false">$K$4-F37</f>
        <v>6</v>
      </c>
    </row>
    <row r="38" customFormat="false" ht="15" hidden="false" customHeight="true" outlineLevel="0" collapsed="false">
      <c r="A38" s="25" t="n">
        <v>34</v>
      </c>
      <c r="B38" s="26" t="n">
        <v>46131</v>
      </c>
      <c r="C38" s="27" t="n">
        <v>2.5</v>
      </c>
      <c r="D38" s="27" t="n">
        <v>3</v>
      </c>
      <c r="E38" s="27" t="n">
        <f aca="false">E37+C38</f>
        <v>83.0001</v>
      </c>
      <c r="F38" s="27" t="n">
        <f aca="false">F37+D38</f>
        <v>83</v>
      </c>
      <c r="G38" s="27" t="n">
        <f aca="false">$K$4-E38</f>
        <v>2.99989999999998</v>
      </c>
      <c r="H38" s="27" t="n">
        <f aca="false">$K$4-F38</f>
        <v>3</v>
      </c>
    </row>
    <row r="39" customFormat="false" ht="15" hidden="false" customHeight="true" outlineLevel="0" collapsed="false">
      <c r="A39" s="25" t="n">
        <v>35</v>
      </c>
      <c r="B39" s="26" t="n">
        <v>46132</v>
      </c>
      <c r="C39" s="27" t="n">
        <v>1</v>
      </c>
      <c r="D39" s="27" t="n">
        <v>1</v>
      </c>
      <c r="E39" s="27" t="n">
        <f aca="false">E38+C39</f>
        <v>84.0001</v>
      </c>
      <c r="F39" s="27" t="n">
        <f aca="false">F38+D39</f>
        <v>84</v>
      </c>
      <c r="G39" s="27" t="n">
        <f aca="false">$K$4-E39</f>
        <v>1.99989999999998</v>
      </c>
      <c r="H39" s="27" t="n">
        <f aca="false">$K$4-F39</f>
        <v>2</v>
      </c>
    </row>
    <row r="40" customFormat="false" ht="15" hidden="false" customHeight="true" outlineLevel="0" collapsed="false">
      <c r="A40" s="25" t="n">
        <v>36</v>
      </c>
      <c r="B40" s="26" t="n">
        <v>46133</v>
      </c>
      <c r="C40" s="27" t="n">
        <v>1</v>
      </c>
      <c r="D40" s="27" t="n">
        <v>1</v>
      </c>
      <c r="E40" s="27" t="n">
        <f aca="false">E39+C40</f>
        <v>85.0001</v>
      </c>
      <c r="F40" s="27" t="n">
        <f aca="false">F39+D40</f>
        <v>85</v>
      </c>
      <c r="G40" s="27" t="n">
        <f aca="false">$K$4-E40</f>
        <v>0.999899999999983</v>
      </c>
      <c r="H40" s="27" t="n">
        <f aca="false">$K$4-F40</f>
        <v>1</v>
      </c>
    </row>
    <row r="41" customFormat="false" ht="15" hidden="false" customHeight="true" outlineLevel="0" collapsed="false">
      <c r="A41" s="25" t="n">
        <v>37</v>
      </c>
      <c r="B41" s="26" t="n">
        <v>46134</v>
      </c>
      <c r="C41" s="27" t="n">
        <v>1</v>
      </c>
      <c r="D41" s="27" t="n">
        <v>1</v>
      </c>
      <c r="E41" s="27" t="n">
        <f aca="false">E40+C41</f>
        <v>86.0001</v>
      </c>
      <c r="F41" s="27" t="n">
        <f aca="false">F40+D41</f>
        <v>86</v>
      </c>
      <c r="G41" s="27" t="n">
        <f aca="false">$K$4-E41</f>
        <v>-0.000100000000017531</v>
      </c>
      <c r="H41" s="27" t="n">
        <f aca="false">$K$4-F41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2026-05-23T23:27:30Z</dcterms:created>
  <dc:creator>Pauu</dc:creator>
  <dc:description/>
  <dc:language>en-US</dc:language>
  <cp:lastModifiedBy/>
  <dcterms:modified xsi:type="dcterms:W3CDTF">2026-09-13T18:43:36Z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