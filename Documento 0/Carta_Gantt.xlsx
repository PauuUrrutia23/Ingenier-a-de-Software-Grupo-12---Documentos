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uu\Downloads\"/>
    </mc:Choice>
  </mc:AlternateContent>
  <xr:revisionPtr revIDLastSave="0" documentId="8_{FE2CE10E-2C19-480C-960C-8DB64837EDD5}" xr6:coauthVersionLast="47" xr6:coauthVersionMax="47" xr10:uidLastSave="{00000000-0000-0000-0000-000000000000}"/>
  <bookViews>
    <workbookView xWindow="-120" yWindow="-120" windowWidth="29040" windowHeight="15720" tabRatio="500" xr2:uid="{00000000-000D-0000-FFFF-FFFF00000000}"/>
  </bookViews>
  <sheets>
    <sheet name="ProjectSchedule" sheetId="1" r:id="rId1"/>
  </sheets>
  <definedNames>
    <definedName name="hoy" localSheetId="0">TODAY()</definedName>
    <definedName name="Inicio_del_proyecto">ProjectSchedule!$F$3</definedName>
    <definedName name="Semana_para_mostrar">ProjectSchedule!$F$4</definedName>
    <definedName name="task_end" localSheetId="0">ProjectSchedule!$G1</definedName>
    <definedName name="task_progress" localSheetId="0">ProjectSchedule!$E1</definedName>
    <definedName name="task_start" localSheetId="0">ProjectSchedule!$F1</definedName>
    <definedName name="_xlnm.Print_Titles" localSheetId="0">ProjectSchedule!$4:$6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93" i="1" l="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46" i="1"/>
  <c r="I43" i="1"/>
  <c r="I42" i="1"/>
  <c r="I41" i="1"/>
  <c r="I40" i="1"/>
  <c r="I24" i="1"/>
  <c r="I9" i="1"/>
  <c r="I8" i="1"/>
  <c r="I7" i="1"/>
  <c r="J5" i="1"/>
  <c r="J4" i="1" s="1"/>
  <c r="K5" i="1" l="1"/>
  <c r="J6" i="1"/>
  <c r="K6" i="1" l="1"/>
  <c r="L5" i="1"/>
  <c r="L6" i="1" l="1"/>
  <c r="M5" i="1"/>
  <c r="M6" i="1" l="1"/>
  <c r="N5" i="1"/>
  <c r="O5" i="1" l="1"/>
  <c r="N6" i="1"/>
  <c r="O6" i="1" l="1"/>
  <c r="P5" i="1"/>
  <c r="P6" i="1" l="1"/>
  <c r="Q5" i="1"/>
  <c r="Q6" i="1" l="1"/>
  <c r="R5" i="1"/>
  <c r="Q4" i="1"/>
  <c r="R6" i="1" l="1"/>
  <c r="S5" i="1"/>
  <c r="S6" i="1" l="1"/>
  <c r="T5" i="1"/>
  <c r="T6" i="1" l="1"/>
  <c r="U5" i="1"/>
  <c r="U6" i="1" l="1"/>
  <c r="V5" i="1"/>
  <c r="V6" i="1" l="1"/>
  <c r="W5" i="1"/>
  <c r="X5" i="1" l="1"/>
  <c r="W6" i="1"/>
  <c r="X4" i="1" l="1"/>
  <c r="X6" i="1"/>
  <c r="Y5" i="1"/>
  <c r="Y6" i="1" l="1"/>
  <c r="Z5" i="1"/>
  <c r="Z6" i="1" l="1"/>
  <c r="AA5" i="1"/>
  <c r="AA6" i="1" l="1"/>
  <c r="AB5" i="1"/>
  <c r="AB6" i="1" l="1"/>
  <c r="AC5" i="1"/>
  <c r="AC6" i="1" l="1"/>
  <c r="AD5" i="1"/>
  <c r="AD6" i="1" l="1"/>
  <c r="AE5" i="1"/>
  <c r="AE4" i="1" l="1"/>
  <c r="AE6" i="1"/>
  <c r="AF5" i="1"/>
  <c r="AF6" i="1" l="1"/>
  <c r="AG5" i="1"/>
  <c r="AG6" i="1" l="1"/>
  <c r="AH5" i="1"/>
  <c r="AH6" i="1" l="1"/>
  <c r="AI5" i="1"/>
  <c r="AI6" i="1" l="1"/>
  <c r="AJ5" i="1"/>
  <c r="AJ6" i="1" l="1"/>
  <c r="AK5" i="1"/>
  <c r="AL5" i="1" l="1"/>
  <c r="AK6" i="1"/>
  <c r="AL6" i="1" l="1"/>
  <c r="AM5" i="1"/>
  <c r="AL4" i="1"/>
  <c r="AM6" i="1" l="1"/>
  <c r="AN5" i="1"/>
  <c r="AN6" i="1" l="1"/>
  <c r="AO5" i="1"/>
  <c r="AO6" i="1" l="1"/>
  <c r="AP5" i="1"/>
  <c r="AP6" i="1" l="1"/>
  <c r="AQ5" i="1"/>
  <c r="AQ6" i="1" l="1"/>
  <c r="AR5" i="1"/>
  <c r="AR6" i="1" l="1"/>
  <c r="AS5" i="1"/>
  <c r="AS6" i="1" l="1"/>
  <c r="AT5" i="1"/>
  <c r="AS4" i="1"/>
  <c r="AT6" i="1" l="1"/>
  <c r="AU5" i="1"/>
  <c r="AV5" i="1" l="1"/>
  <c r="AU6" i="1"/>
  <c r="AV6" i="1" l="1"/>
  <c r="AW5" i="1"/>
  <c r="AW6" i="1" l="1"/>
  <c r="AX5" i="1"/>
  <c r="AY5" i="1" l="1"/>
  <c r="AX6" i="1"/>
  <c r="AY6" i="1" l="1"/>
  <c r="AZ5" i="1"/>
  <c r="AZ6" i="1" l="1"/>
  <c r="BA5" i="1"/>
  <c r="AZ4" i="1"/>
  <c r="BA6" i="1" l="1"/>
  <c r="BB5" i="1"/>
  <c r="BB6" i="1" l="1"/>
  <c r="BC5" i="1"/>
  <c r="BC6" i="1" l="1"/>
  <c r="BD5" i="1"/>
  <c r="BD6" i="1" l="1"/>
  <c r="BE5" i="1"/>
  <c r="BE6" i="1" l="1"/>
  <c r="BF5" i="1"/>
  <c r="BF6" i="1" l="1"/>
  <c r="BG5" i="1"/>
  <c r="BG6" i="1" l="1"/>
  <c r="BH5" i="1"/>
  <c r="BG4" i="1"/>
  <c r="BH6" i="1" l="1"/>
  <c r="BI5" i="1"/>
  <c r="BI6" i="1" l="1"/>
  <c r="BJ5" i="1"/>
  <c r="BJ6" i="1" l="1"/>
  <c r="BK5" i="1"/>
  <c r="BK6" i="1" l="1"/>
  <c r="BL5" i="1"/>
  <c r="BL6" i="1" l="1"/>
  <c r="BM5" i="1"/>
  <c r="BM6" i="1" l="1"/>
  <c r="BN5" i="1"/>
  <c r="BN4" i="1" l="1"/>
  <c r="BN6" i="1"/>
  <c r="BO5" i="1"/>
  <c r="BO6" i="1" l="1"/>
  <c r="BP5" i="1"/>
  <c r="BP6" i="1" l="1"/>
  <c r="BQ5" i="1"/>
  <c r="BQ6" i="1" l="1"/>
  <c r="BR5" i="1"/>
  <c r="BR6" i="1" l="1"/>
  <c r="BS5" i="1"/>
  <c r="BS6" i="1" l="1"/>
  <c r="BT5" i="1"/>
  <c r="BT6" i="1" l="1"/>
  <c r="BU5" i="1"/>
  <c r="BU6" i="1" l="1"/>
  <c r="BU4" i="1"/>
  <c r="BV5" i="1"/>
  <c r="BV6" i="1" l="1"/>
  <c r="BW5" i="1"/>
  <c r="BW6" i="1" l="1"/>
  <c r="BX5" i="1"/>
  <c r="BX6" i="1" l="1"/>
  <c r="BY5" i="1"/>
  <c r="BY6" i="1" l="1"/>
  <c r="BZ5" i="1"/>
  <c r="BZ6" i="1" l="1"/>
  <c r="CA5" i="1"/>
  <c r="CA6" i="1" l="1"/>
  <c r="CB5" i="1"/>
  <c r="CB4" i="1" l="1"/>
  <c r="CB6" i="1"/>
  <c r="CC5" i="1"/>
  <c r="CC6" i="1" l="1"/>
  <c r="CD5" i="1"/>
  <c r="CD6" i="1" l="1"/>
  <c r="CE5" i="1"/>
  <c r="CE6" i="1" l="1"/>
  <c r="CF5" i="1"/>
  <c r="CF6" i="1" l="1"/>
  <c r="CG5" i="1"/>
  <c r="CG6" i="1" l="1"/>
  <c r="CH5" i="1"/>
  <c r="CH6" i="1" l="1"/>
  <c r="CI5" i="1"/>
  <c r="CI6" i="1" l="1"/>
  <c r="CJ5" i="1"/>
  <c r="CI4" i="1"/>
  <c r="CJ6" i="1" l="1"/>
  <c r="CK5" i="1"/>
  <c r="CK6" i="1" l="1"/>
  <c r="CL5" i="1"/>
  <c r="CL6" i="1" l="1"/>
  <c r="CM5" i="1"/>
  <c r="CM6" i="1" l="1"/>
  <c r="CN5" i="1"/>
  <c r="CN6" i="1" l="1"/>
  <c r="CO5" i="1"/>
  <c r="CO6" i="1" l="1"/>
  <c r="CP5" i="1"/>
  <c r="CP4" i="1" l="1"/>
  <c r="CP6" i="1"/>
  <c r="CQ5" i="1"/>
  <c r="CQ6" i="1" l="1"/>
  <c r="CR5" i="1"/>
  <c r="CR6" i="1" l="1"/>
  <c r="CS5" i="1"/>
  <c r="CT5" i="1" l="1"/>
  <c r="CS6" i="1"/>
  <c r="CT6" i="1" l="1"/>
  <c r="CU5" i="1"/>
  <c r="CU6" i="1" l="1"/>
  <c r="CV5" i="1"/>
  <c r="CV6" i="1" l="1"/>
  <c r="CW5" i="1"/>
  <c r="CW6" i="1" l="1"/>
  <c r="CX5" i="1"/>
  <c r="CW4" i="1"/>
  <c r="CY5" i="1" l="1"/>
  <c r="CX6" i="1"/>
  <c r="CY6" i="1" l="1"/>
  <c r="CZ5" i="1"/>
  <c r="CZ6" i="1" l="1"/>
  <c r="DA5" i="1"/>
  <c r="DA6" i="1" l="1"/>
  <c r="DB5" i="1"/>
  <c r="DB6" i="1" l="1"/>
  <c r="DC5" i="1"/>
  <c r="DC6" i="1" l="1"/>
  <c r="DD5" i="1"/>
  <c r="DD4" i="1" l="1"/>
  <c r="DD6" i="1"/>
  <c r="DE5" i="1"/>
  <c r="DE6" i="1" l="1"/>
  <c r="DF5" i="1"/>
  <c r="DG5" i="1" l="1"/>
  <c r="DF6" i="1"/>
  <c r="DG6" i="1" l="1"/>
  <c r="DH5" i="1"/>
  <c r="DH6" i="1" l="1"/>
  <c r="DI5" i="1"/>
  <c r="DI6" i="1" l="1"/>
  <c r="DJ5" i="1"/>
  <c r="DJ6" i="1" l="1"/>
  <c r="DK5" i="1"/>
  <c r="DK4" i="1" l="1"/>
  <c r="DK6" i="1"/>
  <c r="DL5" i="1"/>
  <c r="DL6" i="1" l="1"/>
  <c r="DM5" i="1"/>
  <c r="DM6" i="1" l="1"/>
  <c r="DN5" i="1"/>
  <c r="DN6" i="1" l="1"/>
  <c r="DO5" i="1"/>
  <c r="DO6" i="1" l="1"/>
  <c r="DP5" i="1"/>
  <c r="DP6" i="1" l="1"/>
  <c r="DQ5" i="1"/>
  <c r="DR5" i="1" l="1"/>
  <c r="DQ6" i="1"/>
  <c r="DR6" i="1" l="1"/>
  <c r="DS5" i="1"/>
  <c r="DR4" i="1"/>
  <c r="DS6" i="1" l="1"/>
  <c r="DT5" i="1"/>
  <c r="DT6" i="1" l="1"/>
  <c r="DU5" i="1"/>
  <c r="DU6" i="1" l="1"/>
  <c r="DV5" i="1"/>
  <c r="DW5" i="1" l="1"/>
  <c r="DV6" i="1"/>
  <c r="DW6" i="1" l="1"/>
  <c r="DX5" i="1"/>
  <c r="DX6" i="1" l="1"/>
  <c r="DY5" i="1"/>
  <c r="DY6" i="1" l="1"/>
  <c r="DZ5" i="1"/>
  <c r="DY4" i="1"/>
  <c r="DZ6" i="1" l="1"/>
  <c r="EA5" i="1"/>
  <c r="EA6" i="1" l="1"/>
  <c r="EB5" i="1"/>
  <c r="EB6" i="1" l="1"/>
  <c r="EC5" i="1"/>
  <c r="EC6" i="1" l="1"/>
  <c r="ED5" i="1"/>
  <c r="ED6" i="1" l="1"/>
  <c r="EE5" i="1"/>
  <c r="EE6" i="1" l="1"/>
  <c r="EF5" i="1"/>
  <c r="EF6" i="1" l="1"/>
  <c r="EG5" i="1"/>
  <c r="EF4" i="1"/>
  <c r="EG6" i="1" l="1"/>
  <c r="EH5" i="1"/>
  <c r="EH6" i="1" l="1"/>
  <c r="EI5" i="1"/>
  <c r="EI6" i="1" l="1"/>
  <c r="EJ5" i="1"/>
  <c r="EJ6" i="1" l="1"/>
  <c r="EK5" i="1"/>
  <c r="EK6" i="1" l="1"/>
  <c r="EL5" i="1"/>
  <c r="EL6" i="1" l="1"/>
  <c r="EM5" i="1"/>
  <c r="EM6" i="1" l="1"/>
  <c r="EN5" i="1"/>
  <c r="EM4" i="1"/>
  <c r="EN6" i="1" l="1"/>
  <c r="EO5" i="1"/>
  <c r="EO6" i="1" l="1"/>
  <c r="EP5" i="1"/>
  <c r="EQ5" i="1" l="1"/>
  <c r="EP6" i="1"/>
  <c r="EQ6" i="1" l="1"/>
  <c r="ER5" i="1"/>
  <c r="ER6" i="1" l="1"/>
  <c r="ES5" i="1"/>
  <c r="ES6" i="1" l="1"/>
  <c r="ET5" i="1"/>
  <c r="ET4" i="1" l="1"/>
  <c r="EU5" i="1"/>
  <c r="ET6" i="1"/>
  <c r="EU6" i="1" l="1"/>
  <c r="EV5" i="1"/>
  <c r="EV6" i="1" l="1"/>
  <c r="EW5" i="1"/>
  <c r="EW6" i="1" l="1"/>
  <c r="EX5" i="1"/>
  <c r="EX6" i="1" l="1"/>
  <c r="EY5" i="1"/>
  <c r="EY6" i="1" l="1"/>
  <c r="EZ5" i="1"/>
  <c r="EZ6" i="1" l="1"/>
  <c r="FA5" i="1"/>
  <c r="FA6" i="1" l="1"/>
  <c r="FA4" i="1"/>
  <c r="FB5" i="1"/>
  <c r="FB6" i="1" l="1"/>
  <c r="FC5" i="1"/>
  <c r="FC6" i="1" l="1"/>
  <c r="FD5" i="1"/>
  <c r="FD6" i="1" l="1"/>
  <c r="FE5" i="1"/>
  <c r="FE6" i="1" l="1"/>
  <c r="FF5" i="1"/>
  <c r="FF6" i="1" l="1"/>
  <c r="FG5" i="1"/>
  <c r="FG6" i="1" l="1"/>
  <c r="FH5" i="1"/>
  <c r="FH4" i="1" l="1"/>
  <c r="FH6" i="1"/>
  <c r="FI5" i="1"/>
  <c r="FI6" i="1" l="1"/>
  <c r="FJ5" i="1"/>
  <c r="FJ6" i="1" l="1"/>
  <c r="FK5" i="1"/>
  <c r="FK6" i="1" l="1"/>
  <c r="FL5" i="1"/>
  <c r="FL6" i="1" l="1"/>
  <c r="FM5" i="1"/>
  <c r="FN5" i="1" l="1"/>
  <c r="FM6" i="1"/>
  <c r="FN6" i="1" l="1"/>
  <c r="FO5" i="1"/>
  <c r="FO6" i="1" l="1"/>
  <c r="FP5" i="1"/>
  <c r="FO4" i="1"/>
  <c r="FP6" i="1" l="1"/>
  <c r="FQ5" i="1"/>
  <c r="FQ6" i="1" l="1"/>
  <c r="FR5" i="1"/>
  <c r="FS5" i="1" l="1"/>
  <c r="FR6" i="1"/>
  <c r="FS6" i="1" l="1"/>
  <c r="FT5" i="1"/>
  <c r="FT6" i="1" l="1"/>
  <c r="FU5" i="1"/>
  <c r="FU6" i="1" l="1"/>
  <c r="FV5" i="1"/>
  <c r="FV4" i="1" l="1"/>
  <c r="FV6" i="1"/>
  <c r="FW5" i="1"/>
  <c r="FW6" i="1" l="1"/>
  <c r="FX5" i="1"/>
  <c r="FX6" i="1" l="1"/>
  <c r="FY5" i="1"/>
  <c r="FY6" i="1" l="1"/>
  <c r="FZ5" i="1"/>
  <c r="GA5" i="1" l="1"/>
  <c r="FZ6" i="1"/>
  <c r="GA6" i="1" l="1"/>
  <c r="GB5" i="1"/>
  <c r="GB6" i="1" l="1"/>
  <c r="GC5" i="1"/>
  <c r="GC6" i="1" l="1"/>
  <c r="GD5" i="1"/>
  <c r="GC4" i="1"/>
  <c r="GD6" i="1" l="1"/>
  <c r="GE5" i="1"/>
  <c r="GE6" i="1" l="1"/>
  <c r="GF5" i="1"/>
  <c r="GF6" i="1" l="1"/>
  <c r="GG5" i="1"/>
  <c r="GG6" i="1" l="1"/>
  <c r="GH5" i="1"/>
  <c r="GH6" i="1" l="1"/>
  <c r="GI5" i="1"/>
  <c r="GI6" i="1" l="1"/>
  <c r="GJ5" i="1"/>
  <c r="GJ4" i="1" l="1"/>
  <c r="GJ6" i="1"/>
  <c r="GK5" i="1"/>
  <c r="GK6" i="1" l="1"/>
  <c r="GL5" i="1"/>
  <c r="GL6" i="1" l="1"/>
  <c r="GM5" i="1"/>
  <c r="GM6" i="1" l="1"/>
  <c r="GN5" i="1"/>
  <c r="GN6" i="1" l="1"/>
  <c r="GO5" i="1"/>
  <c r="GO6" i="1" l="1"/>
  <c r="GP5" i="1"/>
  <c r="GP6" i="1" l="1"/>
  <c r="GQ5" i="1"/>
  <c r="GQ4" i="1" l="1"/>
  <c r="GQ6" i="1"/>
  <c r="GR5" i="1"/>
  <c r="GR6" i="1" l="1"/>
  <c r="GS5" i="1"/>
  <c r="GS6" i="1" l="1"/>
  <c r="GT5" i="1"/>
  <c r="GT6" i="1" l="1"/>
  <c r="GU5" i="1"/>
  <c r="GU6" i="1" l="1"/>
  <c r="GV5" i="1"/>
  <c r="GV6" i="1" l="1"/>
  <c r="GW5" i="1"/>
  <c r="GW6" i="1" l="1"/>
  <c r="GX5" i="1"/>
  <c r="GX6" i="1" l="1"/>
  <c r="GY5" i="1"/>
  <c r="GX4" i="1"/>
  <c r="GY6" i="1" l="1"/>
  <c r="GZ5" i="1"/>
  <c r="GZ6" i="1" l="1"/>
  <c r="HA5" i="1"/>
  <c r="HA6" i="1" l="1"/>
  <c r="HB5" i="1"/>
  <c r="HB6" i="1" l="1"/>
  <c r="HC5" i="1"/>
  <c r="HC6" i="1" l="1"/>
  <c r="HD5" i="1"/>
  <c r="HD6" i="1" l="1"/>
  <c r="HE5" i="1"/>
  <c r="HE6" i="1" l="1"/>
  <c r="HF5" i="1"/>
  <c r="HE4" i="1"/>
  <c r="HF6" i="1" l="1"/>
  <c r="HG5" i="1"/>
  <c r="HG6" i="1" l="1"/>
  <c r="HH5" i="1"/>
  <c r="HH6" i="1" l="1"/>
  <c r="HI5" i="1"/>
  <c r="HI6" i="1" l="1"/>
  <c r="HJ5" i="1"/>
  <c r="HJ6" i="1" l="1"/>
  <c r="HK5" i="1"/>
  <c r="HK6" i="1" l="1"/>
  <c r="HL5" i="1"/>
  <c r="HL6" i="1" l="1"/>
  <c r="HM5" i="1"/>
  <c r="HL4" i="1"/>
  <c r="HM6" i="1" l="1"/>
  <c r="HN5" i="1"/>
  <c r="HN6" i="1" l="1"/>
  <c r="HO5" i="1"/>
  <c r="HO6" i="1" l="1"/>
  <c r="HP5" i="1"/>
  <c r="HP6" i="1" l="1"/>
  <c r="HQ5" i="1"/>
  <c r="HQ6" i="1" l="1"/>
  <c r="HR5" i="1"/>
  <c r="HR6" i="1" l="1"/>
  <c r="HS5" i="1"/>
  <c r="HT5" i="1" l="1"/>
  <c r="HS6" i="1"/>
  <c r="HS4" i="1"/>
  <c r="HT6" i="1" l="1"/>
  <c r="HU5" i="1"/>
  <c r="HU6" i="1" l="1"/>
  <c r="HV5" i="1"/>
  <c r="HW5" i="1" l="1"/>
  <c r="HV6" i="1"/>
  <c r="HW6" i="1" l="1"/>
  <c r="HX5" i="1"/>
  <c r="HX6" i="1" l="1"/>
  <c r="HY5" i="1"/>
  <c r="HY6" i="1" l="1"/>
  <c r="HZ5" i="1"/>
  <c r="HZ4" i="1" l="1"/>
  <c r="HZ6" i="1"/>
  <c r="IA5" i="1"/>
  <c r="IA6" i="1" l="1"/>
  <c r="IB5" i="1"/>
  <c r="IB6" i="1" l="1"/>
  <c r="IC5" i="1"/>
  <c r="IC6" i="1" l="1"/>
  <c r="ID5" i="1"/>
  <c r="ID6" i="1" l="1"/>
  <c r="IE5" i="1"/>
  <c r="IE6" i="1" l="1"/>
  <c r="IF5" i="1"/>
  <c r="IF6" i="1" l="1"/>
  <c r="IG5" i="1"/>
  <c r="IG6" i="1" l="1"/>
  <c r="IG4" i="1"/>
  <c r="IH5" i="1"/>
  <c r="IH6" i="1" l="1"/>
  <c r="II5" i="1"/>
  <c r="II6" i="1" l="1"/>
  <c r="IJ5" i="1"/>
  <c r="IJ6" i="1" l="1"/>
  <c r="IK5" i="1"/>
  <c r="IK6" i="1" l="1"/>
  <c r="IL5" i="1"/>
  <c r="IM5" i="1" l="1"/>
  <c r="IL6" i="1"/>
  <c r="IM6" i="1" l="1"/>
  <c r="IN5" i="1"/>
  <c r="IN4" i="1" l="1"/>
  <c r="IN6" i="1"/>
  <c r="IO5" i="1"/>
  <c r="IO6" i="1" l="1"/>
  <c r="IP5" i="1"/>
  <c r="IP6" i="1" l="1"/>
  <c r="IQ5" i="1"/>
  <c r="IQ6" i="1" l="1"/>
  <c r="IR5" i="1"/>
  <c r="IR6" i="1" l="1"/>
  <c r="IS5" i="1"/>
  <c r="IS6" i="1" l="1"/>
  <c r="IT5" i="1"/>
  <c r="IT6" i="1" l="1"/>
  <c r="IU5" i="1"/>
  <c r="IU6" i="1" l="1"/>
  <c r="IV5" i="1"/>
  <c r="IU4" i="1"/>
  <c r="IV6" i="1" l="1"/>
  <c r="IW5" i="1"/>
  <c r="IW6" i="1" l="1"/>
  <c r="IX5" i="1"/>
  <c r="IX6" i="1" l="1"/>
  <c r="IY5" i="1"/>
  <c r="IY6" i="1" l="1"/>
  <c r="IZ5" i="1"/>
  <c r="IZ6" i="1" l="1"/>
  <c r="JA5" i="1"/>
  <c r="JA6" i="1" l="1"/>
  <c r="JB5" i="1"/>
  <c r="JB4" i="1" l="1"/>
  <c r="JB6" i="1"/>
  <c r="JC5" i="1"/>
  <c r="JC6" i="1" l="1"/>
  <c r="JD5" i="1"/>
  <c r="JD6" i="1" l="1"/>
  <c r="JE5" i="1"/>
  <c r="JE6" i="1" l="1"/>
  <c r="JF5" i="1"/>
  <c r="JG5" i="1" l="1"/>
  <c r="JF6" i="1"/>
  <c r="JG6" i="1" l="1"/>
  <c r="JH5" i="1"/>
  <c r="JH6" i="1" l="1"/>
  <c r="JI5" i="1"/>
  <c r="JI6" i="1" l="1"/>
  <c r="JJ5" i="1"/>
  <c r="JI4" i="1"/>
  <c r="JJ6" i="1" l="1"/>
  <c r="JK5" i="1"/>
  <c r="JK6" i="1" l="1"/>
  <c r="JL5" i="1"/>
  <c r="JL6" i="1" l="1"/>
  <c r="JM5" i="1"/>
  <c r="JM6" i="1" l="1"/>
  <c r="JN5" i="1"/>
  <c r="JN6" i="1" l="1"/>
  <c r="JO5" i="1"/>
  <c r="JO6" i="1" l="1"/>
  <c r="JP5" i="1"/>
  <c r="JP4" i="1" l="1"/>
  <c r="JP6" i="1"/>
  <c r="JQ5" i="1"/>
  <c r="JQ6" i="1" l="1"/>
  <c r="JR5" i="1"/>
  <c r="JS5" i="1" l="1"/>
  <c r="JR6" i="1"/>
  <c r="JS6" i="1" l="1"/>
  <c r="JT5" i="1"/>
  <c r="JT6" i="1" l="1"/>
  <c r="JU5" i="1"/>
  <c r="JU6" i="1" l="1"/>
  <c r="JV5" i="1"/>
  <c r="JW5" i="1" l="1"/>
  <c r="JV6" i="1"/>
  <c r="JW4" i="1" l="1"/>
  <c r="JW6" i="1"/>
  <c r="JX5" i="1"/>
  <c r="JX6" i="1" l="1"/>
  <c r="JY5" i="1"/>
  <c r="JY6" i="1" l="1"/>
  <c r="JZ5" i="1"/>
  <c r="JZ6" i="1" l="1"/>
  <c r="KA5" i="1"/>
  <c r="KA6" i="1" l="1"/>
  <c r="KB5" i="1"/>
  <c r="KB6" i="1" l="1"/>
  <c r="KC5" i="1"/>
  <c r="KC6" i="1" l="1"/>
  <c r="KD5" i="1"/>
  <c r="KD6" i="1" l="1"/>
  <c r="KE5" i="1"/>
  <c r="KD4" i="1"/>
  <c r="KE6" i="1" l="1"/>
  <c r="KF5" i="1"/>
  <c r="KF6" i="1" l="1"/>
  <c r="KG5" i="1"/>
  <c r="KG6" i="1" l="1"/>
  <c r="KH5" i="1"/>
  <c r="KH6" i="1" l="1"/>
  <c r="KI5" i="1"/>
  <c r="KI6" i="1" l="1"/>
  <c r="KJ5" i="1"/>
  <c r="KJ6" i="1" l="1"/>
  <c r="KK5" i="1"/>
  <c r="KK6" i="1" l="1"/>
  <c r="KL5" i="1"/>
  <c r="KK4" i="1"/>
  <c r="KL6" i="1" l="1"/>
  <c r="KM5" i="1"/>
  <c r="KM6" i="1" l="1"/>
  <c r="KN5" i="1"/>
  <c r="KN6" i="1" l="1"/>
  <c r="KO5" i="1"/>
  <c r="KO6" i="1" l="1"/>
  <c r="KP5" i="1"/>
  <c r="KQ5" i="1" l="1"/>
  <c r="KP6" i="1"/>
  <c r="KQ6" i="1" l="1"/>
  <c r="KR5" i="1"/>
  <c r="KR6" i="1" l="1"/>
  <c r="KS5" i="1"/>
  <c r="KR4" i="1"/>
  <c r="KS6" i="1" l="1"/>
  <c r="KT5" i="1"/>
  <c r="KU5" i="1" l="1"/>
  <c r="KT6" i="1"/>
  <c r="KU6" i="1" l="1"/>
  <c r="KV5" i="1"/>
  <c r="KV6" i="1" l="1"/>
  <c r="KW5" i="1"/>
  <c r="KW6" i="1" l="1"/>
  <c r="KX5" i="1"/>
  <c r="KX6" i="1" s="1"/>
</calcChain>
</file>

<file path=xl/sharedStrings.xml><?xml version="1.0" encoding="utf-8"?>
<sst xmlns="http://schemas.openxmlformats.org/spreadsheetml/2006/main" count="236" uniqueCount="137">
  <si>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</si>
  <si>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Proyecto Implementación de Plataforma Web Ingecon</t>
  </si>
  <si>
    <t>Escriba el nombre de la compañía en la celda B2.</t>
  </si>
  <si>
    <t>Ingecon</t>
  </si>
  <si>
    <t>Escriba el nombre del responsable del proyecto en la celda B3. Escriba la fecha de comienzo del proyecto en la celda E3. Inicio del proyecto: la etiqueta se encuentra en la celda C3.</t>
  </si>
  <si>
    <t>Grupo: Diego C., Tomás H., Vicente O., Benjamin P., Diego S., Paulina U.</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</si>
  <si>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</si>
  <si>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</si>
  <si>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</si>
  <si>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</si>
  <si>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</si>
  <si>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</si>
  <si>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Proceso</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</si>
  <si>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</si>
  <si>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</si>
  <si>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</si>
  <si>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</si>
  <si>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</si>
  <si>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</si>
  <si>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</si>
  <si>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Desarrollo Documento 0</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</si>
  <si>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</si>
  <si>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Iniciación</t>
  </si>
  <si>
    <t>Solicitud formal de la iniciativa por parte del grupo de trabajo</t>
  </si>
  <si>
    <t>Vicente Ortega Nobizelli</t>
  </si>
  <si>
    <t>Inciciación</t>
  </si>
  <si>
    <t>Crear la visión del proyecto</t>
  </si>
  <si>
    <t>Todos</t>
  </si>
  <si>
    <t>Identificación de roles dentro del equipo</t>
  </si>
  <si>
    <t>Planificación y Estimación</t>
  </si>
  <si>
    <t>Construir product backlog</t>
  </si>
  <si>
    <t>Introdu</t>
  </si>
  <si>
    <t>Introducción</t>
  </si>
  <si>
    <t>Paulina Urrutia Moya</t>
  </si>
  <si>
    <t>Contexto</t>
  </si>
  <si>
    <t>Tomás Hurtado Silva</t>
  </si>
  <si>
    <t>Problema</t>
  </si>
  <si>
    <t>Benjamin Parraguez Aguirre</t>
  </si>
  <si>
    <t xml:space="preserve">Objetivo General </t>
  </si>
  <si>
    <t>Objetivos Específicos</t>
  </si>
  <si>
    <t>Organigramas</t>
  </si>
  <si>
    <t>Preparar la Entrevista del Usuario</t>
  </si>
  <si>
    <t>PEST o PESTEL</t>
  </si>
  <si>
    <t>Primera Entrevista Usuario</t>
  </si>
  <si>
    <t>Vicente Ortega Nobizelli, Tomás Hurtado Silva, Benjamin Parraguez Aguirre.</t>
  </si>
  <si>
    <t>Foda</t>
  </si>
  <si>
    <t>Cadena de valor</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</si>
  <si>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</si>
  <si>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Implementación</t>
  </si>
  <si>
    <t>Sprint Planning</t>
  </si>
  <si>
    <t>Ishikawa</t>
  </si>
  <si>
    <t>Diego Carabajal Belmar</t>
  </si>
  <si>
    <t>Levantamiento de Procesos (Bizagi)</t>
  </si>
  <si>
    <t>Diego Sepúlveda Solar, Vicente Ortega Nobizelli</t>
  </si>
  <si>
    <t>Porter</t>
  </si>
  <si>
    <t>Histograma</t>
  </si>
  <si>
    <t>Levantar Requerimientos de Usuario</t>
  </si>
  <si>
    <t>Paulina Urrutia Moya, Tomás Hurtado Silva</t>
  </si>
  <si>
    <t>Envío de correo de aceptación de requisitos</t>
  </si>
  <si>
    <t>Pasar Requerimientos Funcionales a UR (estándar ESA)</t>
  </si>
  <si>
    <t>Tomás Hurtado Silva, Paulina Urrutia Moya</t>
  </si>
  <si>
    <t>Diagrama de casos de uso</t>
  </si>
  <si>
    <t>Casos de uso Extendido</t>
  </si>
  <si>
    <t>Estimación de costos y beneficios</t>
  </si>
  <si>
    <t>Matriz de requerimientos v/s casos de uso</t>
  </si>
  <si>
    <t>Paulina Urrutia</t>
  </si>
  <si>
    <t>Revisión del Documento 0</t>
  </si>
  <si>
    <t>Diego Sepúlveda Solar, Vicente Ortega Nobizelli, Diego Carabajal Belmar</t>
  </si>
  <si>
    <t>Correciónes Documento 0</t>
  </si>
  <si>
    <t>Entregar el Documento 0</t>
  </si>
  <si>
    <t xml:space="preserve">Preparación Presentación </t>
  </si>
  <si>
    <t>-----</t>
  </si>
  <si>
    <t>Hacer la Presentación del Documento 0</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</si>
  <si>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</si>
  <si>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Incremento 1</t>
  </si>
  <si>
    <t>MERE</t>
  </si>
  <si>
    <t>Base de Datos</t>
  </si>
  <si>
    <t>Paulina</t>
  </si>
  <si>
    <t>Diagrama de Clases</t>
  </si>
  <si>
    <t>Modelo Relacional</t>
  </si>
  <si>
    <t>Vista Lógica</t>
  </si>
  <si>
    <t>Informe</t>
  </si>
  <si>
    <t>D de Despliegue</t>
  </si>
  <si>
    <t>Vistas 4 + 1</t>
  </si>
  <si>
    <t>Tomás y Diego Sepúlveda</t>
  </si>
  <si>
    <t>D de Secuencia</t>
  </si>
  <si>
    <t>Tomás</t>
  </si>
  <si>
    <t>Corrección diagramas</t>
  </si>
  <si>
    <t>Bizagi</t>
  </si>
  <si>
    <t>Vicente</t>
  </si>
  <si>
    <t>Bloque de título fase de ejemplo</t>
  </si>
  <si>
    <t>Corrección formato</t>
  </si>
  <si>
    <t>D de Componentes</t>
  </si>
  <si>
    <t>Benjamín y Diego Carabajal</t>
  </si>
  <si>
    <t>Dimensión Técnica</t>
  </si>
  <si>
    <t>Benjamín</t>
  </si>
  <si>
    <t>Carta Gantt</t>
  </si>
  <si>
    <t>Planificación</t>
  </si>
  <si>
    <t>Programación</t>
  </si>
  <si>
    <t>Desarrollo Web</t>
  </si>
  <si>
    <t>Evidencia</t>
  </si>
  <si>
    <t>Video demostrativo de la Web</t>
  </si>
  <si>
    <t>Benjamín y Tomás</t>
  </si>
  <si>
    <t xml:space="preserve">Vistas 4 + 1  </t>
  </si>
  <si>
    <t>Creación de tablas y Datos</t>
  </si>
  <si>
    <t>Avances</t>
  </si>
  <si>
    <t>Diego Carabajal</t>
  </si>
  <si>
    <t>Diego Sepúlveda</t>
  </si>
  <si>
    <t>Incremento 2</t>
  </si>
  <si>
    <t>Esta es una fila vacía.</t>
  </si>
  <si>
    <t>Vista logica</t>
  </si>
  <si>
    <t>Esta fila indica el final de la programación del proyecto. NO escriba nada en esta fila. 
Inserte nuevas filas encima de ésta para continuar creando la programación del proyecto.</t>
  </si>
  <si>
    <t>Código MySQL</t>
  </si>
  <si>
    <t>Benjamin</t>
  </si>
  <si>
    <t>Corrección formato informe</t>
  </si>
  <si>
    <t>Documento</t>
  </si>
  <si>
    <t>Scrum Diario</t>
  </si>
  <si>
    <t>Correciones puntuales Informe incremento 2</t>
  </si>
  <si>
    <t>Diego C</t>
  </si>
  <si>
    <t>Requerimientos Informe</t>
  </si>
  <si>
    <t>Casos de uso</t>
  </si>
  <si>
    <t>Correción Requerimientos</t>
  </si>
  <si>
    <t>Diagrama de secuencia informe</t>
  </si>
  <si>
    <t>PPT</t>
  </si>
  <si>
    <t>casos de prueba informe</t>
  </si>
  <si>
    <t>Arbol de navegacion  informe</t>
  </si>
  <si>
    <t>Revisión y correción de trazabilidad de informes</t>
  </si>
  <si>
    <t>Revisión y correción de pagina web</t>
  </si>
  <si>
    <t>Matriz RF vs CUS</t>
  </si>
  <si>
    <t>Organización general trabajo</t>
  </si>
  <si>
    <t>Incremento 3</t>
  </si>
  <si>
    <t>Tarea 1</t>
  </si>
  <si>
    <t>Tarea 2</t>
  </si>
  <si>
    <t>Tarea 3</t>
  </si>
  <si>
    <t>Tarea 4</t>
  </si>
  <si>
    <t>Tarea 5</t>
  </si>
  <si>
    <t>VACACIONES DE INVIERNO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</si>
</sst>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
    <numFmt numFmtId="165" formatCode="ddd&quot;, &quot;yyyy\-mm\-dd;@"/>
    <numFmt numFmtId="166" formatCode="d&quot; de &quot;mmmm&quot; de &quot;yyyy"/>
    <numFmt numFmtId="167" formatCode="d"/>
  </numFmts>
  <fonts count="19" x14ac:knownFonts="1">
    <font>
      <sz val="11"/>
      <color theme="1"/>
      <name val="Calibri"/>
      <family val="2"/>
      <charset val="1"/>
    </font>
    <font>
      <sz val="11"/>
      <color theme="0"/>
      <name val="Calibri"/>
      <family val="2"/>
      <charset val="1"/>
    </font>
    <font>
      <b/>
      <sz val="14"/>
      <color rgb="FF003366"/>
      <name val="Calibri"/>
      <charset val="1"/>
    </font>
    <font>
      <b/>
      <sz val="22"/>
      <color theme="1" tint="0.34977263710440382"/>
      <name val="Calibri"/>
      <family val="2"/>
      <charset val="1"/>
    </font>
    <font>
      <b/>
      <sz val="20"/>
      <color theme="4" tint="-0.249977111117893"/>
      <name val="Calibri"/>
      <family val="2"/>
      <charset val="1"/>
    </font>
    <font>
      <sz val="10"/>
      <name val="Calibri"/>
      <family val="2"/>
      <charset val="1"/>
    </font>
    <font>
      <b/>
      <sz val="11"/>
      <name val="Calibri"/>
      <family val="2"/>
      <charset val="1"/>
    </font>
    <font>
      <sz val="14"/>
      <color theme="1"/>
      <name val="Calibri"/>
      <family val="2"/>
      <charset val="1"/>
    </font>
    <font>
      <sz val="10"/>
      <name val="Arial"/>
      <family val="2"/>
      <charset val="1"/>
    </font>
    <font>
      <sz val="9"/>
      <name val="Calibri"/>
      <family val="2"/>
      <charset val="1"/>
    </font>
    <font>
      <b/>
      <sz val="11"/>
      <color rgb="FFFFFFFF"/>
      <name val="Calibri"/>
      <charset val="1"/>
    </font>
    <font>
      <b/>
      <sz val="11"/>
      <color theme="1"/>
      <name val="Calibri"/>
      <family val="2"/>
      <charset val="1"/>
    </font>
    <font>
      <sz val="11"/>
      <name val="Calibri"/>
      <family val="2"/>
      <charset val="1"/>
    </font>
    <font>
      <i/>
      <sz val="9"/>
      <color theme="1"/>
      <name val="Calibri"/>
      <family val="2"/>
      <charset val="1"/>
    </font>
    <font>
      <sz val="10"/>
      <color theme="1" tint="0.49977111117893003"/>
      <name val="Calibri"/>
      <family val="2"/>
      <charset val="1"/>
    </font>
    <font>
      <b/>
      <sz val="11"/>
      <color theme="1" tint="0.49977111117893003"/>
      <name val="Calibri"/>
      <family val="2"/>
      <charset val="1"/>
    </font>
    <font>
      <sz val="10"/>
      <color theme="1" tint="0.49977111117893003"/>
      <name val="Arial"/>
      <family val="2"/>
      <charset val="1"/>
    </font>
    <font>
      <sz val="11"/>
      <color theme="1"/>
      <name val="Calibri"/>
      <family val="2"/>
      <charset val="1"/>
    </font>
    <font>
      <sz val="72"/>
      <color theme="1"/>
      <name val="Calibri"/>
      <family val="2"/>
      <charset val="1"/>
    </font>
  </fonts>
  <fills count="12">
    <fill>
      <patternFill patternType="none"/>
    </fill>
    <fill>
      <patternFill patternType="gray125"/>
    </fill>
    <fill>
      <patternFill patternType="solid">
        <fgColor theme="0" tint="-0.34998626667073579"/>
        <bgColor rgb="FFC4BD97"/>
      </patternFill>
    </fill>
    <fill>
      <patternFill patternType="solid">
        <fgColor theme="0" tint="-0.249977111117893"/>
        <bgColor rgb="FFC4BD97"/>
      </patternFill>
    </fill>
    <fill>
      <patternFill patternType="solid">
        <fgColor theme="4" tint="0.59978026673177287"/>
        <bgColor rgb="FFBFBFBF"/>
      </patternFill>
    </fill>
    <fill>
      <patternFill patternType="solid">
        <fgColor theme="4" tint="0.79979857783745845"/>
        <bgColor rgb="FFD9D9D9"/>
      </patternFill>
    </fill>
    <fill>
      <patternFill patternType="solid">
        <fgColor theme="0"/>
        <bgColor rgb="FFF2F2F2"/>
      </patternFill>
    </fill>
    <fill>
      <patternFill patternType="solid">
        <fgColor theme="2" tint="-9.9978637043366805E-2"/>
        <bgColor rgb="FFD9D9D9"/>
      </patternFill>
    </fill>
    <fill>
      <patternFill patternType="solid">
        <fgColor theme="2" tint="-0.249977111117893"/>
        <bgColor rgb="FFBFBFBF"/>
      </patternFill>
    </fill>
    <fill>
      <patternFill patternType="solid">
        <fgColor theme="0" tint="-4.9989318521683403E-2"/>
        <bgColor rgb="FFFFFFFF"/>
      </patternFill>
    </fill>
    <fill>
      <patternFill patternType="solid">
        <fgColor theme="0" tint="-0.14999847407452621"/>
        <bgColor rgb="FFDDD9C3"/>
      </patternFill>
    </fill>
    <fill>
      <patternFill patternType="solid">
        <fgColor theme="6" tint="0.59978026673177287"/>
        <bgColor rgb="FFDDD9C3"/>
      </patternFill>
    </fill>
  </fills>
  <borders count="10">
    <border>
      <left/>
      <right/>
      <top/>
      <bottom/>
      <diagonal/>
    </border>
    <border>
      <left/>
      <right/>
      <top style="medium">
        <color theme="0" tint="-0.14999847407452621"/>
      </top>
      <bottom style="medium">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9847407452621"/>
      </bottom>
      <diagonal/>
    </border>
    <border>
      <left style="thin">
        <color theme="0" tint="-0.14999847407452621"/>
      </left>
      <right style="thin">
        <color theme="0" tint="-0.14999847407452621"/>
      </right>
      <top style="medium">
        <color theme="0" tint="-0.14999847407452621"/>
      </top>
      <bottom style="medium">
        <color theme="0" tint="-0.14999847407452621"/>
      </bottom>
      <diagonal/>
    </border>
  </borders>
  <cellStyleXfs count="6">
    <xf numFmtId="0" fontId="0" fillId="0" borderId="0"/>
    <xf numFmtId="164" fontId="17" fillId="0" borderId="1">
      <alignment horizontal="center" vertical="center"/>
    </xf>
    <xf numFmtId="165" fontId="17" fillId="0" borderId="2">
      <alignment horizontal="center" vertical="center"/>
    </xf>
    <xf numFmtId="0" fontId="17" fillId="0" borderId="1">
      <alignment horizontal="center" vertical="center"/>
    </xf>
    <xf numFmtId="0" fontId="17" fillId="0" borderId="1">
      <alignment horizontal="left" vertical="center" indent="2"/>
    </xf>
    <xf numFmtId="0" fontId="1" fillId="0" borderId="0"/>
  </cellStyleXfs>
  <cellXfs count="89">
    <xf numFmtId="0" fontId="0" fillId="0" borderId="0" xfId="0"/>
    <xf numFmtId="166" fontId="0" fillId="2" borderId="4" xfId="0" applyNumberFormat="1" applyFill="1" applyBorder="1" applyAlignment="1">
      <alignment horizontal="left" vertical="center" wrapText="1" indent="1"/>
    </xf>
    <xf numFmtId="165" fontId="0" fillId="0" borderId="2" xfId="0" applyNumberFormat="1" applyBorder="1" applyAlignment="1">
      <alignment horizontal="center" vertical="center"/>
    </xf>
    <xf numFmtId="0" fontId="0" fillId="0" borderId="3" xfId="0" applyBorder="1" applyAlignment="1">
      <alignment horizontal="right" indent="1"/>
    </xf>
    <xf numFmtId="0" fontId="1" fillId="0" borderId="0" xfId="0" applyFont="1"/>
    <xf numFmtId="0" fontId="0" fillId="0" borderId="0" xfId="0" applyAlignment="1">
      <alignment horizontal="center"/>
    </xf>
    <xf numFmtId="0" fontId="1" fillId="0" borderId="0" xfId="0" applyFont="1" applyAlignment="1">
      <alignment wrapText="1"/>
    </xf>
    <xf numFmtId="0" fontId="2" fillId="0" borderId="0" xfId="0" applyFont="1" applyAlignment="1">
      <alignment horizontal="left"/>
    </xf>
    <xf numFmtId="0" fontId="3" fillId="0" borderId="0" xfId="0" applyFont="1" applyAlignment="1">
      <alignment horizontal="center"/>
    </xf>
    <xf numFmtId="0" fontId="4" fillId="0" borderId="0" xfId="0" applyFont="1" applyAlignment="1">
      <alignment horizontal="left"/>
    </xf>
    <xf numFmtId="0" fontId="5" fillId="0" borderId="0" xfId="0" applyFont="1"/>
    <xf numFmtId="0" fontId="5" fillId="0" borderId="0" xfId="0" applyFont="1" applyAlignment="1">
      <alignment horizontal="center"/>
    </xf>
    <xf numFmtId="0" fontId="5" fillId="0" borderId="0" xfId="0" applyFont="1" applyAlignment="1">
      <alignment horizontal="center" vertical="center"/>
    </xf>
    <xf numFmtId="0" fontId="6" fillId="0" borderId="0" xfId="0" applyFont="1"/>
    <xf numFmtId="0" fontId="2" fillId="0" borderId="0" xfId="0" applyFont="1"/>
    <xf numFmtId="0" fontId="7" fillId="0" borderId="0" xfId="0" applyFont="1" applyAlignment="1">
      <alignment horizontal="center"/>
    </xf>
    <xf numFmtId="0" fontId="8" fillId="0" borderId="0" xfId="0" applyFont="1" applyAlignment="1">
      <alignment vertical="top"/>
    </xf>
    <xf numFmtId="0" fontId="2" fillId="0" borderId="0" xfId="0" applyFont="1" applyAlignment="1">
      <alignment vertical="top"/>
    </xf>
    <xf numFmtId="0" fontId="7" fillId="0" borderId="0" xfId="0" applyFont="1" applyAlignment="1">
      <alignment horizontal="center" vertical="top"/>
    </xf>
    <xf numFmtId="0" fontId="0" fillId="0" borderId="2" xfId="0" applyBorder="1" applyAlignment="1">
      <alignment horizontal="center" vertical="center"/>
    </xf>
    <xf numFmtId="166" fontId="0" fillId="0" borderId="5" xfId="0" applyNumberFormat="1" applyBorder="1" applyAlignment="1">
      <alignment horizontal="left" vertical="center" wrapText="1" indent="1"/>
    </xf>
    <xf numFmtId="0" fontId="0" fillId="0" borderId="5" xfId="0" applyBorder="1"/>
    <xf numFmtId="0" fontId="0" fillId="0" borderId="6" xfId="0" applyBorder="1"/>
    <xf numFmtId="0" fontId="0" fillId="0" borderId="6" xfId="0" applyBorder="1" applyAlignment="1">
      <alignment horizontal="center"/>
    </xf>
    <xf numFmtId="167" fontId="9" fillId="2" borderId="7" xfId="0" applyNumberFormat="1" applyFont="1" applyFill="1" applyBorder="1" applyAlignment="1">
      <alignment horizontal="center" vertical="center"/>
    </xf>
    <xf numFmtId="167" fontId="9" fillId="2" borderId="0" xfId="0" applyNumberFormat="1" applyFont="1" applyFill="1" applyAlignment="1">
      <alignment horizontal="center" vertical="center"/>
    </xf>
    <xf numFmtId="167" fontId="9" fillId="2" borderId="3" xfId="0" applyNumberFormat="1" applyFont="1" applyFill="1" applyBorder="1" applyAlignment="1">
      <alignment horizontal="center" vertical="center"/>
    </xf>
    <xf numFmtId="0" fontId="10" fillId="3" borderId="5" xfId="0" applyFont="1" applyFill="1" applyBorder="1" applyAlignment="1">
      <alignment horizontal="left" vertical="center" indent="1"/>
    </xf>
    <xf numFmtId="0" fontId="10" fillId="3"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8" xfId="0" applyFont="1" applyFill="1" applyBorder="1" applyAlignment="1">
      <alignment horizontal="center" vertical="center" shrinkToFit="1"/>
    </xf>
    <xf numFmtId="0" fontId="0" fillId="0" borderId="0" xfId="0" applyAlignment="1">
      <alignment wrapText="1"/>
    </xf>
    <xf numFmtId="0" fontId="0" fillId="0" borderId="9" xfId="0" applyBorder="1" applyAlignment="1">
      <alignment vertical="center"/>
    </xf>
    <xf numFmtId="0" fontId="11" fillId="4" borderId="1" xfId="0" applyFont="1" applyFill="1" applyBorder="1" applyAlignment="1">
      <alignment horizontal="left" vertical="center" indent="1"/>
    </xf>
    <xf numFmtId="0" fontId="11" fillId="4" borderId="1" xfId="0" applyFont="1" applyFill="1" applyBorder="1" applyAlignment="1">
      <alignment horizontal="center" vertical="center"/>
    </xf>
    <xf numFmtId="0" fontId="0" fillId="4" borderId="1" xfId="0" applyFill="1" applyBorder="1" applyAlignment="1">
      <alignment horizontal="center" vertical="center"/>
    </xf>
    <xf numFmtId="9" fontId="12" fillId="4" borderId="1" xfId="0" applyNumberFormat="1" applyFont="1" applyFill="1" applyBorder="1" applyAlignment="1">
      <alignment horizontal="center" vertical="center"/>
    </xf>
    <xf numFmtId="164" fontId="0" fillId="4" borderId="1" xfId="0" applyNumberFormat="1" applyFill="1" applyBorder="1" applyAlignment="1">
      <alignment horizontal="center" vertical="center"/>
    </xf>
    <xf numFmtId="164" fontId="12" fillId="4" borderId="1" xfId="0" applyNumberFormat="1" applyFont="1" applyFill="1" applyBorder="1" applyAlignment="1">
      <alignment horizontal="center" vertical="center"/>
    </xf>
    <xf numFmtId="0" fontId="12" fillId="0" borderId="1" xfId="0" applyFont="1" applyBorder="1" applyAlignment="1">
      <alignment horizontal="center" vertical="center"/>
    </xf>
    <xf numFmtId="0" fontId="0" fillId="0" borderId="0" xfId="0" applyAlignment="1">
      <alignment vertical="center"/>
    </xf>
    <xf numFmtId="0" fontId="0" fillId="5" borderId="1" xfId="0" applyFill="1" applyBorder="1" applyAlignment="1">
      <alignment horizontal="left" vertical="center" indent="2"/>
    </xf>
    <xf numFmtId="0" fontId="0" fillId="5" borderId="1" xfId="0" applyFill="1" applyBorder="1" applyAlignment="1">
      <alignment horizontal="center" vertical="center" wrapText="1"/>
    </xf>
    <xf numFmtId="9" fontId="12" fillId="5" borderId="1" xfId="0" applyNumberFormat="1" applyFont="1" applyFill="1" applyBorder="1" applyAlignment="1">
      <alignment horizontal="center" vertical="center"/>
    </xf>
    <xf numFmtId="164" fontId="0" fillId="5" borderId="1" xfId="0" applyNumberFormat="1" applyFill="1" applyBorder="1" applyAlignment="1">
      <alignment horizontal="center" vertical="center"/>
    </xf>
    <xf numFmtId="0" fontId="0" fillId="6" borderId="9" xfId="0" applyFill="1" applyBorder="1" applyAlignment="1">
      <alignment vertical="center"/>
    </xf>
    <xf numFmtId="0" fontId="0" fillId="5" borderId="1" xfId="0" applyFill="1" applyBorder="1" applyAlignment="1">
      <alignment horizontal="center" vertical="center"/>
    </xf>
    <xf numFmtId="0" fontId="0" fillId="0" borderId="9" xfId="0" applyBorder="1" applyAlignment="1">
      <alignment horizontal="right" vertical="center"/>
    </xf>
    <xf numFmtId="0" fontId="11" fillId="7" borderId="1" xfId="0" applyFont="1" applyFill="1" applyBorder="1" applyAlignment="1">
      <alignment horizontal="left" vertical="center" indent="1"/>
    </xf>
    <xf numFmtId="0" fontId="11" fillId="7" borderId="1" xfId="0" applyFont="1" applyFill="1" applyBorder="1" applyAlignment="1">
      <alignment horizontal="center" vertical="center"/>
    </xf>
    <xf numFmtId="0" fontId="0" fillId="7" borderId="1" xfId="0" applyFill="1" applyBorder="1" applyAlignment="1">
      <alignment horizontal="center" vertical="center"/>
    </xf>
    <xf numFmtId="9" fontId="12" fillId="7" borderId="1" xfId="0" applyNumberFormat="1" applyFont="1" applyFill="1" applyBorder="1" applyAlignment="1">
      <alignment horizontal="center" vertical="center"/>
    </xf>
    <xf numFmtId="164" fontId="0" fillId="7" borderId="1" xfId="0" applyNumberFormat="1" applyFill="1" applyBorder="1" applyAlignment="1">
      <alignment horizontal="center" vertical="center"/>
    </xf>
    <xf numFmtId="164" fontId="12" fillId="7" borderId="1" xfId="0" applyNumberFormat="1" applyFont="1" applyFill="1" applyBorder="1" applyAlignment="1">
      <alignment horizontal="center" vertical="center"/>
    </xf>
    <xf numFmtId="0" fontId="0" fillId="8" borderId="1" xfId="0" applyFill="1" applyBorder="1" applyAlignment="1">
      <alignment horizontal="left" vertical="center" indent="2"/>
    </xf>
    <xf numFmtId="0" fontId="0" fillId="8" borderId="1" xfId="0" applyFill="1" applyBorder="1" applyAlignment="1">
      <alignment horizontal="center" vertical="center"/>
    </xf>
    <xf numFmtId="9" fontId="12" fillId="8" borderId="1" xfId="0" applyNumberFormat="1" applyFont="1" applyFill="1" applyBorder="1" applyAlignment="1">
      <alignment horizontal="center" vertical="center"/>
    </xf>
    <xf numFmtId="164" fontId="0" fillId="8" borderId="1" xfId="0" applyNumberFormat="1" applyFill="1" applyBorder="1" applyAlignment="1">
      <alignment horizontal="center" vertical="center"/>
    </xf>
    <xf numFmtId="0" fontId="11" fillId="9" borderId="1" xfId="0" applyFont="1" applyFill="1" applyBorder="1" applyAlignment="1">
      <alignment horizontal="left" vertical="center" indent="1"/>
    </xf>
    <xf numFmtId="0" fontId="11" fillId="9" borderId="1" xfId="0" applyFont="1" applyFill="1" applyBorder="1" applyAlignment="1">
      <alignment horizontal="center" vertical="center"/>
    </xf>
    <xf numFmtId="0" fontId="0" fillId="9" borderId="1" xfId="0" applyFill="1" applyBorder="1" applyAlignment="1">
      <alignment horizontal="center" vertical="center"/>
    </xf>
    <xf numFmtId="9" fontId="12" fillId="9" borderId="1" xfId="0" applyNumberFormat="1" applyFont="1" applyFill="1" applyBorder="1" applyAlignment="1">
      <alignment horizontal="center" vertical="center"/>
    </xf>
    <xf numFmtId="164" fontId="0" fillId="9" borderId="1" xfId="0" applyNumberFormat="1" applyFill="1" applyBorder="1" applyAlignment="1">
      <alignment horizontal="center" vertical="center"/>
    </xf>
    <xf numFmtId="164" fontId="12" fillId="9" borderId="1" xfId="0" applyNumberFormat="1" applyFont="1" applyFill="1" applyBorder="1" applyAlignment="1">
      <alignment horizontal="center" vertical="center"/>
    </xf>
    <xf numFmtId="0" fontId="0" fillId="10" borderId="1" xfId="0" applyFill="1" applyBorder="1" applyAlignment="1">
      <alignment horizontal="left" vertical="center" indent="2"/>
    </xf>
    <xf numFmtId="0" fontId="0" fillId="10" borderId="1" xfId="0" applyFill="1" applyBorder="1" applyAlignment="1">
      <alignment horizontal="center" vertical="center"/>
    </xf>
    <xf numFmtId="9" fontId="12" fillId="10" borderId="1" xfId="0" applyNumberFormat="1" applyFont="1" applyFill="1" applyBorder="1" applyAlignment="1">
      <alignment horizontal="center" vertical="center"/>
    </xf>
    <xf numFmtId="164" fontId="0" fillId="10" borderId="1" xfId="0" applyNumberFormat="1" applyFill="1" applyBorder="1" applyAlignment="1">
      <alignment horizontal="center" vertical="center"/>
    </xf>
    <xf numFmtId="0" fontId="11" fillId="11" borderId="1" xfId="0" applyFont="1" applyFill="1" applyBorder="1" applyAlignment="1">
      <alignment horizontal="left" vertical="center" indent="1"/>
    </xf>
    <xf numFmtId="0" fontId="11" fillId="11" borderId="1" xfId="0" applyFont="1" applyFill="1" applyBorder="1" applyAlignment="1">
      <alignment horizontal="center" vertical="center"/>
    </xf>
    <xf numFmtId="0" fontId="0" fillId="11" borderId="1" xfId="0" applyFill="1" applyBorder="1" applyAlignment="1">
      <alignment horizontal="center" vertical="center"/>
    </xf>
    <xf numFmtId="9" fontId="12" fillId="11" borderId="1" xfId="0" applyNumberFormat="1" applyFont="1" applyFill="1" applyBorder="1" applyAlignment="1">
      <alignment horizontal="center" vertical="center"/>
    </xf>
    <xf numFmtId="164" fontId="0" fillId="11" borderId="1" xfId="0" applyNumberFormat="1" applyFill="1" applyBorder="1" applyAlignment="1">
      <alignment horizontal="center" vertical="center"/>
    </xf>
    <xf numFmtId="164" fontId="12" fillId="11" borderId="1" xfId="0" applyNumberFormat="1" applyFont="1" applyFill="1" applyBorder="1" applyAlignment="1">
      <alignment horizontal="center" vertical="center"/>
    </xf>
    <xf numFmtId="0" fontId="0" fillId="11" borderId="1" xfId="0" applyFill="1" applyBorder="1" applyAlignment="1">
      <alignment horizontal="left" vertical="center" indent="2"/>
    </xf>
    <xf numFmtId="0" fontId="0" fillId="0" borderId="1" xfId="0" applyBorder="1" applyAlignment="1">
      <alignment horizontal="left" vertical="center" indent="2"/>
    </xf>
    <xf numFmtId="0" fontId="0" fillId="0" borderId="1" xfId="0" applyBorder="1" applyAlignment="1">
      <alignment horizontal="center" vertical="center"/>
    </xf>
    <xf numFmtId="9" fontId="12" fillId="0" borderId="1" xfId="0" applyNumberFormat="1" applyFont="1" applyBorder="1" applyAlignment="1">
      <alignment horizontal="center" vertical="center"/>
    </xf>
    <xf numFmtId="164" fontId="0" fillId="0" borderId="1" xfId="0" applyNumberFormat="1" applyBorder="1" applyAlignment="1">
      <alignment horizontal="center" vertical="center"/>
    </xf>
    <xf numFmtId="0" fontId="13" fillId="9" borderId="1" xfId="0" applyFont="1" applyFill="1" applyBorder="1" applyAlignment="1">
      <alignment horizontal="left" vertical="center" indent="1"/>
    </xf>
    <xf numFmtId="0" fontId="13" fillId="9" borderId="1" xfId="0" applyFont="1" applyFill="1" applyBorder="1" applyAlignment="1">
      <alignment horizontal="center" vertical="center"/>
    </xf>
    <xf numFmtId="164" fontId="14" fillId="9" borderId="1" xfId="0" applyNumberFormat="1" applyFont="1" applyFill="1" applyBorder="1" applyAlignment="1">
      <alignment horizontal="left" vertical="center"/>
    </xf>
    <xf numFmtId="0" fontId="12" fillId="9" borderId="1" xfId="0" applyFont="1" applyFill="1" applyBorder="1" applyAlignment="1">
      <alignment horizontal="center" vertical="center"/>
    </xf>
    <xf numFmtId="0" fontId="0" fillId="9" borderId="9" xfId="0" applyFill="1" applyBorder="1" applyAlignment="1">
      <alignment vertical="center"/>
    </xf>
    <xf numFmtId="0" fontId="0" fillId="0" borderId="0" xfId="0" applyAlignment="1">
      <alignment horizontal="right" vertical="center"/>
    </xf>
    <xf numFmtId="0" fontId="15" fillId="0" borderId="0" xfId="0" applyFont="1"/>
    <xf numFmtId="0" fontId="1" fillId="0" borderId="0" xfId="0" applyFont="1" applyAlignment="1">
      <alignment horizontal="center"/>
    </xf>
    <xf numFmtId="0" fontId="16" fillId="0" borderId="0" xfId="0" applyFont="1"/>
    <xf numFmtId="0" fontId="18" fillId="0" borderId="0" xfId="0" applyFont="1"/>
  </cellXfs>
  <cellStyles count="6">
    <cellStyle name="Fecha" xfId="1" xr:uid="{00000000-0005-0000-0000-000006000000}"/>
    <cellStyle name="Inicio del proyecto" xfId="2" xr:uid="{00000000-0005-0000-0000-000007000000}"/>
    <cellStyle name="Nombre" xfId="3" xr:uid="{00000000-0005-0000-0000-000008000000}"/>
    <cellStyle name="Normal" xfId="0" builtinId="0"/>
    <cellStyle name="Tarea" xfId="4" xr:uid="{00000000-0005-0000-0000-000009000000}"/>
    <cellStyle name="zTextoOculto" xfId="5" xr:uid="{00000000-0005-0000-0000-00000A000000}"/>
  </cellStyles>
  <dxfs count="3">
    <dxf>
      <fill>
        <patternFill>
          <bgColor theme="7"/>
        </patternFill>
      </fill>
      <border diagonalUp="0" diagonalDown="0">
        <left/>
        <right/>
        <top/>
        <bottom/>
      </border>
    </dxf>
    <dxf>
      <fill>
        <patternFill>
          <bgColor theme="0" tint="-0.34998626667073579"/>
        </patternFill>
      </fill>
    </dxf>
    <dxf>
      <border diagonalUp="0" diagonalDown="0">
        <left style="thin">
          <color rgb="FFC00000"/>
        </left>
        <right style="thin">
          <color rgb="FFC00000"/>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9D9D9"/>
      <rgbColor rgb="FFD7E4BD"/>
      <rgbColor rgb="FFFFFF99"/>
      <rgbColor rgb="FFC4BD97"/>
      <rgbColor rgb="FFFF99CC"/>
      <rgbColor rgb="FFCC99FF"/>
      <rgbColor rgb="FFDDD9C3"/>
      <rgbColor rgb="FF3366FF"/>
      <rgbColor rgb="FF33CCCC"/>
      <rgbColor rgb="FF99CC00"/>
      <rgbColor rgb="FFFFCC00"/>
      <rgbColor rgb="FFFF9900"/>
      <rgbColor rgb="FFFF6600"/>
      <rgbColor rgb="FF8064A2"/>
      <rgbColor rgb="FFA6A6A6"/>
      <rgbColor rgb="FF003366"/>
      <rgbColor rgb="FF339966"/>
      <rgbColor rgb="FF003300"/>
      <rgbColor rgb="FF333300"/>
      <rgbColor rgb="FF993300"/>
      <rgbColor rgb="FF993366"/>
      <rgbColor rgb="FF376092"/>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X96"/>
  <sheetViews>
    <sheetView showGridLines="0" tabSelected="1" zoomScale="23" zoomScaleNormal="23" workbookViewId="0">
      <pane ySplit="6" topLeftCell="A14" activePane="bottomLeft" state="frozen"/>
      <selection pane="bottomLeft" activeCell="GP84" sqref="GP84"/>
    </sheetView>
  </sheetViews>
  <sheetFormatPr baseColWidth="10" defaultColWidth="9.140625" defaultRowHeight="15" x14ac:dyDescent="0.25"/>
  <cols>
    <col min="1" max="1" width="2.7109375" style="4" customWidth="1"/>
    <col min="2" max="2" width="29.7109375" customWidth="1"/>
    <col min="3" max="3" width="29.7109375" style="5" customWidth="1"/>
    <col min="4" max="4" width="30.7109375" customWidth="1"/>
    <col min="5" max="5" width="10.7109375" customWidth="1"/>
    <col min="6" max="6" width="10.42578125" style="5" customWidth="1"/>
    <col min="7" max="7" width="10.42578125" customWidth="1"/>
    <col min="8" max="8" width="3.140625" customWidth="1"/>
    <col min="9" max="9" width="6.140625" hidden="1" customWidth="1"/>
    <col min="10" max="29" width="3.140625" customWidth="1"/>
    <col min="30" max="30" width="6" customWidth="1"/>
    <col min="31" max="36" width="3.140625" customWidth="1"/>
    <col min="37" max="37" width="6.5703125" customWidth="1"/>
    <col min="38" max="65" width="3.140625" customWidth="1"/>
    <col min="66" max="66" width="3.42578125" customWidth="1"/>
    <col min="67" max="67" width="2.85546875" customWidth="1"/>
    <col min="68" max="68" width="2.140625" customWidth="1"/>
    <col min="69" max="69" width="3.85546875" customWidth="1"/>
    <col min="70" max="70" width="3.28515625" customWidth="1"/>
    <col min="71" max="71" width="2.5703125" customWidth="1"/>
    <col min="72" max="72" width="3" customWidth="1"/>
    <col min="73" max="73" width="2.42578125" customWidth="1"/>
    <col min="74" max="75" width="4" customWidth="1"/>
    <col min="76" max="76" width="2.85546875" customWidth="1"/>
    <col min="77" max="78" width="4" customWidth="1"/>
    <col min="79" max="79" width="5" customWidth="1"/>
    <col min="80" max="80" width="5.42578125" customWidth="1"/>
    <col min="81" max="81" width="4.5703125" customWidth="1"/>
    <col min="82" max="82" width="5.140625" customWidth="1"/>
    <col min="83" max="83" width="4.28515625" customWidth="1"/>
    <col min="84" max="84" width="5.42578125" customWidth="1"/>
    <col min="85" max="85" width="5.7109375" customWidth="1"/>
    <col min="86" max="86" width="4" customWidth="1"/>
    <col min="87" max="87" width="5.7109375" customWidth="1"/>
    <col min="88" max="88" width="3.42578125" customWidth="1"/>
    <col min="89" max="89" width="4.85546875" customWidth="1"/>
    <col min="90" max="90" width="5.42578125" customWidth="1"/>
    <col min="91" max="91" width="5.140625" customWidth="1"/>
    <col min="92" max="92" width="4.28515625" customWidth="1"/>
    <col min="93" max="93" width="5.42578125" customWidth="1"/>
    <col min="94" max="95" width="4" customWidth="1"/>
    <col min="96" max="96" width="4.85546875" customWidth="1"/>
    <col min="97" max="97" width="4.5703125" customWidth="1"/>
    <col min="98" max="98" width="5.7109375" customWidth="1"/>
    <col min="99" max="99" width="5.42578125" customWidth="1"/>
    <col min="100" max="101" width="4" customWidth="1"/>
    <col min="102" max="102" width="13" customWidth="1"/>
    <col min="103" max="103" width="4.85546875" customWidth="1"/>
    <col min="104" max="104" width="4.5703125" customWidth="1"/>
    <col min="105" max="105" width="5.7109375" customWidth="1"/>
    <col min="106" max="106" width="5.42578125" customWidth="1"/>
    <col min="107" max="107" width="4" customWidth="1"/>
    <col min="121" max="121" width="9.140625" customWidth="1"/>
  </cols>
  <sheetData>
    <row r="1" spans="1:310" ht="30" customHeight="1" x14ac:dyDescent="0.45">
      <c r="A1" s="6" t="s">
        <v>0</v>
      </c>
      <c r="B1" s="7" t="s">
        <v>1</v>
      </c>
      <c r="C1" s="8"/>
      <c r="D1" s="9"/>
      <c r="E1" s="10"/>
      <c r="F1" s="11"/>
      <c r="G1" s="12"/>
      <c r="I1" s="10"/>
      <c r="J1" s="13"/>
    </row>
    <row r="2" spans="1:310" ht="81.75" customHeight="1" x14ac:dyDescent="1.35">
      <c r="A2" s="4" t="s">
        <v>2</v>
      </c>
      <c r="B2" s="14" t="s">
        <v>3</v>
      </c>
      <c r="C2" s="15"/>
      <c r="J2" s="16"/>
      <c r="DL2" s="88" t="s">
        <v>136</v>
      </c>
    </row>
    <row r="3" spans="1:310" ht="30" customHeight="1" x14ac:dyDescent="0.25">
      <c r="A3" s="4" t="s">
        <v>4</v>
      </c>
      <c r="B3" s="17" t="s">
        <v>5</v>
      </c>
      <c r="C3" s="18"/>
      <c r="D3" s="3" t="s">
        <v>6</v>
      </c>
      <c r="E3" s="3"/>
      <c r="F3" s="2">
        <v>46101</v>
      </c>
      <c r="G3" s="2"/>
    </row>
    <row r="4" spans="1:310" ht="30" customHeight="1" x14ac:dyDescent="0.25">
      <c r="A4" s="6" t="s">
        <v>7</v>
      </c>
      <c r="D4" s="3" t="s">
        <v>8</v>
      </c>
      <c r="E4" s="3"/>
      <c r="F4" s="19">
        <v>0</v>
      </c>
      <c r="J4" s="1">
        <f>J5</f>
        <v>46090</v>
      </c>
      <c r="K4" s="1"/>
      <c r="L4" s="1"/>
      <c r="M4" s="1"/>
      <c r="N4" s="1"/>
      <c r="O4" s="1"/>
      <c r="P4" s="1"/>
      <c r="Q4" s="1">
        <f>Q5</f>
        <v>46097</v>
      </c>
      <c r="R4" s="1"/>
      <c r="S4" s="1"/>
      <c r="T4" s="1"/>
      <c r="U4" s="1"/>
      <c r="V4" s="1"/>
      <c r="W4" s="1"/>
      <c r="X4" s="1">
        <f>X5</f>
        <v>46104</v>
      </c>
      <c r="Y4" s="1"/>
      <c r="Z4" s="1"/>
      <c r="AA4" s="1"/>
      <c r="AB4" s="1"/>
      <c r="AC4" s="1"/>
      <c r="AD4" s="1"/>
      <c r="AE4" s="1">
        <f>AE5</f>
        <v>46111</v>
      </c>
      <c r="AF4" s="1"/>
      <c r="AG4" s="1"/>
      <c r="AH4" s="1"/>
      <c r="AI4" s="1"/>
      <c r="AJ4" s="1"/>
      <c r="AK4" s="1"/>
      <c r="AL4" s="1">
        <f>AL5</f>
        <v>46118</v>
      </c>
      <c r="AM4" s="1"/>
      <c r="AN4" s="1"/>
      <c r="AO4" s="1"/>
      <c r="AP4" s="1"/>
      <c r="AQ4" s="1"/>
      <c r="AR4" s="1"/>
      <c r="AS4" s="1">
        <f>AS5</f>
        <v>46125</v>
      </c>
      <c r="AT4" s="1"/>
      <c r="AU4" s="1"/>
      <c r="AV4" s="1"/>
      <c r="AW4" s="1"/>
      <c r="AX4" s="1"/>
      <c r="AY4" s="1"/>
      <c r="AZ4" s="1">
        <f>AZ5</f>
        <v>46132</v>
      </c>
      <c r="BA4" s="1"/>
      <c r="BB4" s="1"/>
      <c r="BC4" s="1"/>
      <c r="BD4" s="1"/>
      <c r="BE4" s="1"/>
      <c r="BF4" s="1"/>
      <c r="BG4" s="1">
        <f>BG5</f>
        <v>46139</v>
      </c>
      <c r="BH4" s="1"/>
      <c r="BI4" s="1"/>
      <c r="BJ4" s="1"/>
      <c r="BK4" s="1"/>
      <c r="BL4" s="1"/>
      <c r="BM4" s="1"/>
      <c r="BN4" s="1">
        <f>BN5</f>
        <v>46146</v>
      </c>
      <c r="BO4" s="1"/>
      <c r="BP4" s="1"/>
      <c r="BQ4" s="1"/>
      <c r="BR4" s="1"/>
      <c r="BS4" s="1"/>
      <c r="BT4" s="1"/>
      <c r="BU4" s="1">
        <f>BU5</f>
        <v>46153</v>
      </c>
      <c r="BV4" s="1"/>
      <c r="BW4" s="1"/>
      <c r="BX4" s="1"/>
      <c r="BY4" s="1"/>
      <c r="BZ4" s="1"/>
      <c r="CA4" s="1"/>
      <c r="CB4" s="1">
        <f>CB5</f>
        <v>46160</v>
      </c>
      <c r="CC4" s="1"/>
      <c r="CD4" s="1"/>
      <c r="CE4" s="1"/>
      <c r="CF4" s="1"/>
      <c r="CG4" s="1"/>
      <c r="CH4" s="1"/>
      <c r="CI4" s="1">
        <f>CI5</f>
        <v>46167</v>
      </c>
      <c r="CJ4" s="1"/>
      <c r="CK4" s="1"/>
      <c r="CL4" s="1"/>
      <c r="CM4" s="1"/>
      <c r="CN4" s="1"/>
      <c r="CO4" s="1"/>
      <c r="CP4" s="1">
        <f>CP5</f>
        <v>46174</v>
      </c>
      <c r="CQ4" s="1"/>
      <c r="CR4" s="1"/>
      <c r="CS4" s="1"/>
      <c r="CT4" s="1"/>
      <c r="CU4" s="1"/>
      <c r="CV4" s="1"/>
      <c r="CW4" s="1">
        <f>CW5</f>
        <v>46181</v>
      </c>
      <c r="CX4" s="1"/>
      <c r="CY4" s="1"/>
      <c r="CZ4" s="1"/>
      <c r="DA4" s="1"/>
      <c r="DB4" s="1"/>
      <c r="DC4" s="1"/>
      <c r="DD4" s="20">
        <f>DD5</f>
        <v>46188</v>
      </c>
      <c r="DE4" s="21"/>
      <c r="DF4" s="21"/>
      <c r="DG4" s="21"/>
      <c r="DH4" s="21"/>
      <c r="DI4" s="21"/>
      <c r="DJ4" s="21"/>
      <c r="DK4" s="20">
        <f>DK5</f>
        <v>46195</v>
      </c>
      <c r="DL4" s="21"/>
      <c r="DM4" s="21"/>
      <c r="DN4" s="21"/>
      <c r="DO4" s="21"/>
      <c r="DP4" s="21"/>
      <c r="DQ4" s="21"/>
      <c r="DR4" s="20">
        <f>DR5</f>
        <v>46202</v>
      </c>
      <c r="DS4" s="21"/>
      <c r="DT4" s="21"/>
      <c r="DU4" s="21"/>
      <c r="DV4" s="21"/>
      <c r="DW4" s="21"/>
      <c r="DX4" s="21"/>
      <c r="DY4" s="20">
        <f>DY5</f>
        <v>46209</v>
      </c>
      <c r="DZ4" s="21"/>
      <c r="EA4" s="21"/>
      <c r="EB4" s="21"/>
      <c r="EC4" s="21"/>
      <c r="ED4" s="21"/>
      <c r="EE4" s="21"/>
      <c r="EF4" s="20">
        <f>EF5</f>
        <v>46216</v>
      </c>
      <c r="EG4" s="21"/>
      <c r="EH4" s="21"/>
      <c r="EI4" s="21"/>
      <c r="EJ4" s="21"/>
      <c r="EK4" s="21"/>
      <c r="EL4" s="21"/>
      <c r="EM4" s="20">
        <f>EM5</f>
        <v>46223</v>
      </c>
      <c r="EN4" s="21"/>
      <c r="EO4" s="21"/>
      <c r="EP4" s="21"/>
      <c r="EQ4" s="21"/>
      <c r="ER4" s="21"/>
      <c r="ES4" s="21"/>
      <c r="ET4" s="20">
        <f>ET5</f>
        <v>46230</v>
      </c>
      <c r="EU4" s="21"/>
      <c r="EV4" s="21"/>
      <c r="EW4" s="21"/>
      <c r="EX4" s="21"/>
      <c r="EY4" s="21"/>
      <c r="EZ4" s="21"/>
      <c r="FA4" s="20">
        <f>FA5</f>
        <v>46237</v>
      </c>
      <c r="FB4" s="21"/>
      <c r="FC4" s="21"/>
      <c r="FD4" s="21"/>
      <c r="FE4" s="21"/>
      <c r="FF4" s="21"/>
      <c r="FG4" s="21"/>
      <c r="FH4" s="20">
        <f>FH5</f>
        <v>46244</v>
      </c>
      <c r="FI4" s="21"/>
      <c r="FJ4" s="21"/>
      <c r="FK4" s="21"/>
      <c r="FL4" s="21"/>
      <c r="FM4" s="21"/>
      <c r="FN4" s="21"/>
      <c r="FO4" s="20">
        <f>FO5</f>
        <v>46251</v>
      </c>
      <c r="FP4" s="21"/>
      <c r="FQ4" s="21"/>
      <c r="FR4" s="21"/>
      <c r="FS4" s="21"/>
      <c r="FT4" s="21"/>
      <c r="FU4" s="21"/>
      <c r="FV4" s="20">
        <f>FV5</f>
        <v>46258</v>
      </c>
      <c r="FW4" s="21"/>
      <c r="FX4" s="21"/>
      <c r="FY4" s="21"/>
      <c r="FZ4" s="21"/>
      <c r="GA4" s="21"/>
      <c r="GB4" s="21"/>
      <c r="GC4" s="20">
        <f>GC5</f>
        <v>46265</v>
      </c>
      <c r="GD4" s="21"/>
      <c r="GE4" s="21"/>
      <c r="GF4" s="21"/>
      <c r="GG4" s="21"/>
      <c r="GH4" s="21"/>
      <c r="GI4" s="21"/>
      <c r="GJ4" s="20">
        <f>GJ5</f>
        <v>46272</v>
      </c>
      <c r="GK4" s="21"/>
      <c r="GL4" s="21"/>
      <c r="GM4" s="21"/>
      <c r="GN4" s="21"/>
      <c r="GO4" s="21"/>
      <c r="GP4" s="21"/>
      <c r="GQ4" s="20">
        <f>GQ5</f>
        <v>46279</v>
      </c>
      <c r="GR4" s="21"/>
      <c r="GS4" s="21"/>
      <c r="GT4" s="21"/>
      <c r="GU4" s="21"/>
      <c r="GV4" s="21"/>
      <c r="GW4" s="21"/>
      <c r="GX4" s="20">
        <f>GX5</f>
        <v>46286</v>
      </c>
      <c r="GY4" s="21"/>
      <c r="GZ4" s="21"/>
      <c r="HA4" s="21"/>
      <c r="HB4" s="21"/>
      <c r="HC4" s="21"/>
      <c r="HD4" s="21"/>
      <c r="HE4" s="20">
        <f>HE5</f>
        <v>46293</v>
      </c>
      <c r="HF4" s="21"/>
      <c r="HG4" s="21"/>
      <c r="HH4" s="21"/>
      <c r="HI4" s="21"/>
      <c r="HJ4" s="21"/>
      <c r="HK4" s="21"/>
      <c r="HL4" s="20">
        <f>HL5</f>
        <v>46300</v>
      </c>
      <c r="HM4" s="21"/>
      <c r="HN4" s="21"/>
      <c r="HO4" s="21"/>
      <c r="HP4" s="21"/>
      <c r="HQ4" s="21"/>
      <c r="HR4" s="21"/>
      <c r="HS4" s="20">
        <f>HS5</f>
        <v>46307</v>
      </c>
      <c r="HT4" s="21"/>
      <c r="HU4" s="21"/>
      <c r="HV4" s="21"/>
      <c r="HW4" s="21"/>
      <c r="HX4" s="21"/>
      <c r="HY4" s="21"/>
      <c r="HZ4" s="20">
        <f>HZ5</f>
        <v>46314</v>
      </c>
      <c r="IA4" s="21"/>
      <c r="IB4" s="21"/>
      <c r="IC4" s="21"/>
      <c r="ID4" s="21"/>
      <c r="IE4" s="21"/>
      <c r="IF4" s="21"/>
      <c r="IG4" s="20">
        <f>IG5</f>
        <v>46321</v>
      </c>
      <c r="IH4" s="21"/>
      <c r="II4" s="21"/>
      <c r="IJ4" s="21"/>
      <c r="IK4" s="21"/>
      <c r="IL4" s="21"/>
      <c r="IM4" s="21"/>
      <c r="IN4" s="20">
        <f>IN5</f>
        <v>46328</v>
      </c>
      <c r="IO4" s="21"/>
      <c r="IP4" s="21"/>
      <c r="IQ4" s="21"/>
      <c r="IR4" s="21"/>
      <c r="IS4" s="21"/>
      <c r="IT4" s="21"/>
      <c r="IU4" s="20">
        <f>IU5</f>
        <v>46335</v>
      </c>
      <c r="IV4" s="21"/>
      <c r="IW4" s="21"/>
      <c r="IX4" s="21"/>
      <c r="IY4" s="21"/>
      <c r="IZ4" s="21"/>
      <c r="JA4" s="21"/>
      <c r="JB4" s="20">
        <f>JB5</f>
        <v>46342</v>
      </c>
      <c r="JC4" s="21"/>
      <c r="JD4" s="21"/>
      <c r="JE4" s="21"/>
      <c r="JF4" s="21"/>
      <c r="JG4" s="21"/>
      <c r="JH4" s="21"/>
      <c r="JI4" s="20">
        <f>JI5</f>
        <v>46349</v>
      </c>
      <c r="JJ4" s="21"/>
      <c r="JK4" s="21"/>
      <c r="JL4" s="21"/>
      <c r="JM4" s="21"/>
      <c r="JN4" s="21"/>
      <c r="JO4" s="21"/>
      <c r="JP4" s="20">
        <f>JP5</f>
        <v>46356</v>
      </c>
      <c r="JQ4" s="21"/>
      <c r="JR4" s="21"/>
      <c r="JS4" s="21"/>
      <c r="JT4" s="21"/>
      <c r="JU4" s="21"/>
      <c r="JV4" s="21"/>
      <c r="JW4" s="20">
        <f>JW5</f>
        <v>46363</v>
      </c>
      <c r="JX4" s="21"/>
      <c r="JY4" s="21"/>
      <c r="JZ4" s="21"/>
      <c r="KA4" s="21"/>
      <c r="KB4" s="21"/>
      <c r="KC4" s="21"/>
      <c r="KD4" s="20">
        <f>KD5</f>
        <v>46370</v>
      </c>
      <c r="KE4" s="21"/>
      <c r="KF4" s="21"/>
      <c r="KG4" s="21"/>
      <c r="KH4" s="21"/>
      <c r="KI4" s="21"/>
      <c r="KJ4" s="21"/>
      <c r="KK4" s="20">
        <f>KK5</f>
        <v>46377</v>
      </c>
      <c r="KL4" s="21"/>
      <c r="KM4" s="21"/>
      <c r="KN4" s="21"/>
      <c r="KO4" s="21"/>
      <c r="KP4" s="21"/>
      <c r="KQ4" s="21"/>
      <c r="KR4" s="20">
        <f>KR5</f>
        <v>46384</v>
      </c>
      <c r="KS4" s="21"/>
      <c r="KT4" s="21"/>
      <c r="KU4" s="21"/>
      <c r="KV4" s="21"/>
      <c r="KW4" s="21"/>
      <c r="KX4" s="21"/>
    </row>
    <row r="5" spans="1:310" ht="15" customHeight="1" x14ac:dyDescent="0.25">
      <c r="A5" s="6" t="s">
        <v>9</v>
      </c>
      <c r="B5" s="22"/>
      <c r="C5" s="23"/>
      <c r="D5" s="22"/>
      <c r="E5" s="22"/>
      <c r="F5" s="22"/>
      <c r="G5" s="22"/>
      <c r="H5" s="22"/>
      <c r="J5" s="24">
        <f>Inicio_del_proyecto-WEEKDAY(Inicio_del_proyecto,1)+2+7*(Semana_para_mostrar-1)</f>
        <v>46090</v>
      </c>
      <c r="K5" s="25">
        <f t="shared" ref="K5:BV5" si="0">J5+1</f>
        <v>46091</v>
      </c>
      <c r="L5" s="25">
        <f t="shared" si="0"/>
        <v>46092</v>
      </c>
      <c r="M5" s="25">
        <f t="shared" si="0"/>
        <v>46093</v>
      </c>
      <c r="N5" s="25">
        <f t="shared" si="0"/>
        <v>46094</v>
      </c>
      <c r="O5" s="25">
        <f t="shared" si="0"/>
        <v>46095</v>
      </c>
      <c r="P5" s="26">
        <f t="shared" si="0"/>
        <v>46096</v>
      </c>
      <c r="Q5" s="24">
        <f t="shared" si="0"/>
        <v>46097</v>
      </c>
      <c r="R5" s="25">
        <f t="shared" si="0"/>
        <v>46098</v>
      </c>
      <c r="S5" s="25">
        <f t="shared" si="0"/>
        <v>46099</v>
      </c>
      <c r="T5" s="25">
        <f t="shared" si="0"/>
        <v>46100</v>
      </c>
      <c r="U5" s="25">
        <f t="shared" si="0"/>
        <v>46101</v>
      </c>
      <c r="V5" s="25">
        <f t="shared" si="0"/>
        <v>46102</v>
      </c>
      <c r="W5" s="26">
        <f t="shared" si="0"/>
        <v>46103</v>
      </c>
      <c r="X5" s="24">
        <f t="shared" si="0"/>
        <v>46104</v>
      </c>
      <c r="Y5" s="25">
        <f t="shared" si="0"/>
        <v>46105</v>
      </c>
      <c r="Z5" s="25">
        <f t="shared" si="0"/>
        <v>46106</v>
      </c>
      <c r="AA5" s="25">
        <f t="shared" si="0"/>
        <v>46107</v>
      </c>
      <c r="AB5" s="25">
        <f t="shared" si="0"/>
        <v>46108</v>
      </c>
      <c r="AC5" s="25">
        <f t="shared" si="0"/>
        <v>46109</v>
      </c>
      <c r="AD5" s="26">
        <f t="shared" si="0"/>
        <v>46110</v>
      </c>
      <c r="AE5" s="24">
        <f t="shared" si="0"/>
        <v>46111</v>
      </c>
      <c r="AF5" s="25">
        <f t="shared" si="0"/>
        <v>46112</v>
      </c>
      <c r="AG5" s="25">
        <f t="shared" si="0"/>
        <v>46113</v>
      </c>
      <c r="AH5" s="25">
        <f t="shared" si="0"/>
        <v>46114</v>
      </c>
      <c r="AI5" s="25">
        <f t="shared" si="0"/>
        <v>46115</v>
      </c>
      <c r="AJ5" s="25">
        <f t="shared" si="0"/>
        <v>46116</v>
      </c>
      <c r="AK5" s="26">
        <f t="shared" si="0"/>
        <v>46117</v>
      </c>
      <c r="AL5" s="24">
        <f t="shared" si="0"/>
        <v>46118</v>
      </c>
      <c r="AM5" s="25">
        <f t="shared" si="0"/>
        <v>46119</v>
      </c>
      <c r="AN5" s="25">
        <f t="shared" si="0"/>
        <v>46120</v>
      </c>
      <c r="AO5" s="25">
        <f t="shared" si="0"/>
        <v>46121</v>
      </c>
      <c r="AP5" s="25">
        <f t="shared" si="0"/>
        <v>46122</v>
      </c>
      <c r="AQ5" s="25">
        <f t="shared" si="0"/>
        <v>46123</v>
      </c>
      <c r="AR5" s="26">
        <f t="shared" si="0"/>
        <v>46124</v>
      </c>
      <c r="AS5" s="24">
        <f t="shared" si="0"/>
        <v>46125</v>
      </c>
      <c r="AT5" s="25">
        <f t="shared" si="0"/>
        <v>46126</v>
      </c>
      <c r="AU5" s="25">
        <f t="shared" si="0"/>
        <v>46127</v>
      </c>
      <c r="AV5" s="25">
        <f t="shared" si="0"/>
        <v>46128</v>
      </c>
      <c r="AW5" s="25">
        <f t="shared" si="0"/>
        <v>46129</v>
      </c>
      <c r="AX5" s="25">
        <f t="shared" si="0"/>
        <v>46130</v>
      </c>
      <c r="AY5" s="26">
        <f t="shared" si="0"/>
        <v>46131</v>
      </c>
      <c r="AZ5" s="24">
        <f t="shared" si="0"/>
        <v>46132</v>
      </c>
      <c r="BA5" s="25">
        <f t="shared" si="0"/>
        <v>46133</v>
      </c>
      <c r="BB5" s="25">
        <f t="shared" si="0"/>
        <v>46134</v>
      </c>
      <c r="BC5" s="25">
        <f t="shared" si="0"/>
        <v>46135</v>
      </c>
      <c r="BD5" s="25">
        <f t="shared" si="0"/>
        <v>46136</v>
      </c>
      <c r="BE5" s="25">
        <f t="shared" si="0"/>
        <v>46137</v>
      </c>
      <c r="BF5" s="26">
        <f t="shared" si="0"/>
        <v>46138</v>
      </c>
      <c r="BG5" s="24">
        <f t="shared" si="0"/>
        <v>46139</v>
      </c>
      <c r="BH5" s="25">
        <f t="shared" si="0"/>
        <v>46140</v>
      </c>
      <c r="BI5" s="25">
        <f t="shared" si="0"/>
        <v>46141</v>
      </c>
      <c r="BJ5" s="25">
        <f t="shared" si="0"/>
        <v>46142</v>
      </c>
      <c r="BK5" s="25">
        <f t="shared" si="0"/>
        <v>46143</v>
      </c>
      <c r="BL5" s="25">
        <f t="shared" si="0"/>
        <v>46144</v>
      </c>
      <c r="BM5" s="26">
        <f t="shared" si="0"/>
        <v>46145</v>
      </c>
      <c r="BN5" s="24">
        <f t="shared" si="0"/>
        <v>46146</v>
      </c>
      <c r="BO5" s="25">
        <f t="shared" si="0"/>
        <v>46147</v>
      </c>
      <c r="BP5" s="25">
        <f t="shared" si="0"/>
        <v>46148</v>
      </c>
      <c r="BQ5" s="25">
        <f t="shared" si="0"/>
        <v>46149</v>
      </c>
      <c r="BR5" s="25">
        <f t="shared" si="0"/>
        <v>46150</v>
      </c>
      <c r="BS5" s="25">
        <f t="shared" si="0"/>
        <v>46151</v>
      </c>
      <c r="BT5" s="26">
        <f t="shared" si="0"/>
        <v>46152</v>
      </c>
      <c r="BU5" s="24">
        <f t="shared" si="0"/>
        <v>46153</v>
      </c>
      <c r="BV5" s="25">
        <f t="shared" si="0"/>
        <v>46154</v>
      </c>
      <c r="BW5" s="25">
        <f t="shared" ref="BW5:EH5" si="1">BV5+1</f>
        <v>46155</v>
      </c>
      <c r="BX5" s="25">
        <f t="shared" si="1"/>
        <v>46156</v>
      </c>
      <c r="BY5" s="25">
        <f t="shared" si="1"/>
        <v>46157</v>
      </c>
      <c r="BZ5" s="25">
        <f t="shared" si="1"/>
        <v>46158</v>
      </c>
      <c r="CA5" s="26">
        <f t="shared" si="1"/>
        <v>46159</v>
      </c>
      <c r="CB5" s="24">
        <f t="shared" si="1"/>
        <v>46160</v>
      </c>
      <c r="CC5" s="25">
        <f t="shared" si="1"/>
        <v>46161</v>
      </c>
      <c r="CD5" s="25">
        <f t="shared" si="1"/>
        <v>46162</v>
      </c>
      <c r="CE5" s="25">
        <f t="shared" si="1"/>
        <v>46163</v>
      </c>
      <c r="CF5" s="25">
        <f t="shared" si="1"/>
        <v>46164</v>
      </c>
      <c r="CG5" s="25">
        <f t="shared" si="1"/>
        <v>46165</v>
      </c>
      <c r="CH5" s="26">
        <f t="shared" si="1"/>
        <v>46166</v>
      </c>
      <c r="CI5" s="24">
        <f t="shared" si="1"/>
        <v>46167</v>
      </c>
      <c r="CJ5" s="25">
        <f t="shared" si="1"/>
        <v>46168</v>
      </c>
      <c r="CK5" s="25">
        <f t="shared" si="1"/>
        <v>46169</v>
      </c>
      <c r="CL5" s="25">
        <f t="shared" si="1"/>
        <v>46170</v>
      </c>
      <c r="CM5" s="25">
        <f t="shared" si="1"/>
        <v>46171</v>
      </c>
      <c r="CN5" s="25">
        <f t="shared" si="1"/>
        <v>46172</v>
      </c>
      <c r="CO5" s="26">
        <f t="shared" si="1"/>
        <v>46173</v>
      </c>
      <c r="CP5" s="24">
        <f t="shared" si="1"/>
        <v>46174</v>
      </c>
      <c r="CQ5" s="25">
        <f t="shared" si="1"/>
        <v>46175</v>
      </c>
      <c r="CR5" s="25">
        <f t="shared" si="1"/>
        <v>46176</v>
      </c>
      <c r="CS5" s="25">
        <f t="shared" si="1"/>
        <v>46177</v>
      </c>
      <c r="CT5" s="25">
        <f t="shared" si="1"/>
        <v>46178</v>
      </c>
      <c r="CU5" s="25">
        <f t="shared" si="1"/>
        <v>46179</v>
      </c>
      <c r="CV5" s="26">
        <f t="shared" si="1"/>
        <v>46180</v>
      </c>
      <c r="CW5" s="24">
        <f t="shared" si="1"/>
        <v>46181</v>
      </c>
      <c r="CX5" s="25">
        <f t="shared" si="1"/>
        <v>46182</v>
      </c>
      <c r="CY5" s="25">
        <f t="shared" si="1"/>
        <v>46183</v>
      </c>
      <c r="CZ5" s="25">
        <f t="shared" si="1"/>
        <v>46184</v>
      </c>
      <c r="DA5" s="25">
        <f t="shared" si="1"/>
        <v>46185</v>
      </c>
      <c r="DB5" s="25">
        <f t="shared" si="1"/>
        <v>46186</v>
      </c>
      <c r="DC5" s="26">
        <f t="shared" si="1"/>
        <v>46187</v>
      </c>
      <c r="DD5" s="25">
        <f t="shared" si="1"/>
        <v>46188</v>
      </c>
      <c r="DE5" s="25">
        <f t="shared" si="1"/>
        <v>46189</v>
      </c>
      <c r="DF5" s="25">
        <f t="shared" si="1"/>
        <v>46190</v>
      </c>
      <c r="DG5" s="25">
        <f t="shared" si="1"/>
        <v>46191</v>
      </c>
      <c r="DH5" s="25">
        <f t="shared" si="1"/>
        <v>46192</v>
      </c>
      <c r="DI5" s="25">
        <f t="shared" si="1"/>
        <v>46193</v>
      </c>
      <c r="DJ5" s="25">
        <f t="shared" si="1"/>
        <v>46194</v>
      </c>
      <c r="DK5" s="25">
        <f t="shared" si="1"/>
        <v>46195</v>
      </c>
      <c r="DL5" s="25">
        <f t="shared" si="1"/>
        <v>46196</v>
      </c>
      <c r="DM5" s="25">
        <f t="shared" si="1"/>
        <v>46197</v>
      </c>
      <c r="DN5" s="25">
        <f t="shared" si="1"/>
        <v>46198</v>
      </c>
      <c r="DO5" s="25">
        <f t="shared" si="1"/>
        <v>46199</v>
      </c>
      <c r="DP5" s="25">
        <f t="shared" si="1"/>
        <v>46200</v>
      </c>
      <c r="DQ5" s="25">
        <f t="shared" si="1"/>
        <v>46201</v>
      </c>
      <c r="DR5" s="25">
        <f t="shared" si="1"/>
        <v>46202</v>
      </c>
      <c r="DS5" s="25">
        <f t="shared" si="1"/>
        <v>46203</v>
      </c>
      <c r="DT5" s="25">
        <f t="shared" si="1"/>
        <v>46204</v>
      </c>
      <c r="DU5" s="25">
        <f t="shared" si="1"/>
        <v>46205</v>
      </c>
      <c r="DV5" s="25">
        <f t="shared" si="1"/>
        <v>46206</v>
      </c>
      <c r="DW5" s="25">
        <f t="shared" si="1"/>
        <v>46207</v>
      </c>
      <c r="DX5" s="25">
        <f t="shared" si="1"/>
        <v>46208</v>
      </c>
      <c r="DY5" s="25">
        <f t="shared" si="1"/>
        <v>46209</v>
      </c>
      <c r="DZ5" s="25">
        <f t="shared" si="1"/>
        <v>46210</v>
      </c>
      <c r="EA5" s="25">
        <f t="shared" si="1"/>
        <v>46211</v>
      </c>
      <c r="EB5" s="25">
        <f t="shared" si="1"/>
        <v>46212</v>
      </c>
      <c r="EC5" s="25">
        <f t="shared" si="1"/>
        <v>46213</v>
      </c>
      <c r="ED5" s="25">
        <f t="shared" si="1"/>
        <v>46214</v>
      </c>
      <c r="EE5" s="25">
        <f t="shared" si="1"/>
        <v>46215</v>
      </c>
      <c r="EF5" s="25">
        <f t="shared" si="1"/>
        <v>46216</v>
      </c>
      <c r="EG5" s="25">
        <f t="shared" si="1"/>
        <v>46217</v>
      </c>
      <c r="EH5" s="25">
        <f t="shared" si="1"/>
        <v>46218</v>
      </c>
      <c r="EI5" s="25">
        <f t="shared" ref="EI5:GT5" si="2">EH5+1</f>
        <v>46219</v>
      </c>
      <c r="EJ5" s="25">
        <f t="shared" si="2"/>
        <v>46220</v>
      </c>
      <c r="EK5" s="25">
        <f t="shared" si="2"/>
        <v>46221</v>
      </c>
      <c r="EL5" s="25">
        <f t="shared" si="2"/>
        <v>46222</v>
      </c>
      <c r="EM5" s="25">
        <f t="shared" si="2"/>
        <v>46223</v>
      </c>
      <c r="EN5" s="25">
        <f t="shared" si="2"/>
        <v>46224</v>
      </c>
      <c r="EO5" s="25">
        <f t="shared" si="2"/>
        <v>46225</v>
      </c>
      <c r="EP5" s="25">
        <f t="shared" si="2"/>
        <v>46226</v>
      </c>
      <c r="EQ5" s="25">
        <f t="shared" si="2"/>
        <v>46227</v>
      </c>
      <c r="ER5" s="25">
        <f t="shared" si="2"/>
        <v>46228</v>
      </c>
      <c r="ES5" s="25">
        <f t="shared" si="2"/>
        <v>46229</v>
      </c>
      <c r="ET5" s="25">
        <f t="shared" si="2"/>
        <v>46230</v>
      </c>
      <c r="EU5" s="25">
        <f t="shared" si="2"/>
        <v>46231</v>
      </c>
      <c r="EV5" s="25">
        <f t="shared" si="2"/>
        <v>46232</v>
      </c>
      <c r="EW5" s="25">
        <f t="shared" si="2"/>
        <v>46233</v>
      </c>
      <c r="EX5" s="25">
        <f t="shared" si="2"/>
        <v>46234</v>
      </c>
      <c r="EY5" s="25">
        <f t="shared" si="2"/>
        <v>46235</v>
      </c>
      <c r="EZ5" s="25">
        <f t="shared" si="2"/>
        <v>46236</v>
      </c>
      <c r="FA5" s="25">
        <f t="shared" si="2"/>
        <v>46237</v>
      </c>
      <c r="FB5" s="25">
        <f t="shared" si="2"/>
        <v>46238</v>
      </c>
      <c r="FC5" s="25">
        <f t="shared" si="2"/>
        <v>46239</v>
      </c>
      <c r="FD5" s="25">
        <f t="shared" si="2"/>
        <v>46240</v>
      </c>
      <c r="FE5" s="25">
        <f t="shared" si="2"/>
        <v>46241</v>
      </c>
      <c r="FF5" s="25">
        <f t="shared" si="2"/>
        <v>46242</v>
      </c>
      <c r="FG5" s="25">
        <f t="shared" si="2"/>
        <v>46243</v>
      </c>
      <c r="FH5" s="25">
        <f t="shared" si="2"/>
        <v>46244</v>
      </c>
      <c r="FI5" s="25">
        <f t="shared" si="2"/>
        <v>46245</v>
      </c>
      <c r="FJ5" s="25">
        <f t="shared" si="2"/>
        <v>46246</v>
      </c>
      <c r="FK5" s="25">
        <f t="shared" si="2"/>
        <v>46247</v>
      </c>
      <c r="FL5" s="25">
        <f t="shared" si="2"/>
        <v>46248</v>
      </c>
      <c r="FM5" s="25">
        <f t="shared" si="2"/>
        <v>46249</v>
      </c>
      <c r="FN5" s="25">
        <f t="shared" si="2"/>
        <v>46250</v>
      </c>
      <c r="FO5" s="25">
        <f t="shared" si="2"/>
        <v>46251</v>
      </c>
      <c r="FP5" s="25">
        <f t="shared" si="2"/>
        <v>46252</v>
      </c>
      <c r="FQ5" s="25">
        <f t="shared" si="2"/>
        <v>46253</v>
      </c>
      <c r="FR5" s="25">
        <f t="shared" si="2"/>
        <v>46254</v>
      </c>
      <c r="FS5" s="25">
        <f t="shared" si="2"/>
        <v>46255</v>
      </c>
      <c r="FT5" s="25">
        <f t="shared" si="2"/>
        <v>46256</v>
      </c>
      <c r="FU5" s="25">
        <f t="shared" si="2"/>
        <v>46257</v>
      </c>
      <c r="FV5" s="25">
        <f t="shared" si="2"/>
        <v>46258</v>
      </c>
      <c r="FW5" s="25">
        <f t="shared" si="2"/>
        <v>46259</v>
      </c>
      <c r="FX5" s="25">
        <f t="shared" si="2"/>
        <v>46260</v>
      </c>
      <c r="FY5" s="25">
        <f t="shared" si="2"/>
        <v>46261</v>
      </c>
      <c r="FZ5" s="25">
        <f t="shared" si="2"/>
        <v>46262</v>
      </c>
      <c r="GA5" s="25">
        <f t="shared" si="2"/>
        <v>46263</v>
      </c>
      <c r="GB5" s="25">
        <f t="shared" si="2"/>
        <v>46264</v>
      </c>
      <c r="GC5" s="25">
        <f t="shared" si="2"/>
        <v>46265</v>
      </c>
      <c r="GD5" s="25">
        <f t="shared" si="2"/>
        <v>46266</v>
      </c>
      <c r="GE5" s="25">
        <f t="shared" si="2"/>
        <v>46267</v>
      </c>
      <c r="GF5" s="25">
        <f t="shared" si="2"/>
        <v>46268</v>
      </c>
      <c r="GG5" s="25">
        <f t="shared" si="2"/>
        <v>46269</v>
      </c>
      <c r="GH5" s="25">
        <f t="shared" si="2"/>
        <v>46270</v>
      </c>
      <c r="GI5" s="25">
        <f t="shared" si="2"/>
        <v>46271</v>
      </c>
      <c r="GJ5" s="25">
        <f t="shared" si="2"/>
        <v>46272</v>
      </c>
      <c r="GK5" s="25">
        <f t="shared" si="2"/>
        <v>46273</v>
      </c>
      <c r="GL5" s="25">
        <f t="shared" si="2"/>
        <v>46274</v>
      </c>
      <c r="GM5" s="25">
        <f t="shared" si="2"/>
        <v>46275</v>
      </c>
      <c r="GN5" s="25">
        <f t="shared" si="2"/>
        <v>46276</v>
      </c>
      <c r="GO5" s="25">
        <f t="shared" si="2"/>
        <v>46277</v>
      </c>
      <c r="GP5" s="25">
        <f t="shared" si="2"/>
        <v>46278</v>
      </c>
      <c r="GQ5" s="25">
        <f t="shared" si="2"/>
        <v>46279</v>
      </c>
      <c r="GR5" s="25">
        <f t="shared" si="2"/>
        <v>46280</v>
      </c>
      <c r="GS5" s="25">
        <f t="shared" si="2"/>
        <v>46281</v>
      </c>
      <c r="GT5" s="25">
        <f t="shared" si="2"/>
        <v>46282</v>
      </c>
      <c r="GU5" s="25">
        <f t="shared" ref="GU5:JF5" si="3">GT5+1</f>
        <v>46283</v>
      </c>
      <c r="GV5" s="25">
        <f t="shared" si="3"/>
        <v>46284</v>
      </c>
      <c r="GW5" s="25">
        <f t="shared" si="3"/>
        <v>46285</v>
      </c>
      <c r="GX5" s="25">
        <f t="shared" si="3"/>
        <v>46286</v>
      </c>
      <c r="GY5" s="25">
        <f t="shared" si="3"/>
        <v>46287</v>
      </c>
      <c r="GZ5" s="25">
        <f t="shared" si="3"/>
        <v>46288</v>
      </c>
      <c r="HA5" s="25">
        <f t="shared" si="3"/>
        <v>46289</v>
      </c>
      <c r="HB5" s="25">
        <f t="shared" si="3"/>
        <v>46290</v>
      </c>
      <c r="HC5" s="25">
        <f t="shared" si="3"/>
        <v>46291</v>
      </c>
      <c r="HD5" s="25">
        <f t="shared" si="3"/>
        <v>46292</v>
      </c>
      <c r="HE5" s="25">
        <f t="shared" si="3"/>
        <v>46293</v>
      </c>
      <c r="HF5" s="25">
        <f t="shared" si="3"/>
        <v>46294</v>
      </c>
      <c r="HG5" s="25">
        <f t="shared" si="3"/>
        <v>46295</v>
      </c>
      <c r="HH5" s="25">
        <f t="shared" si="3"/>
        <v>46296</v>
      </c>
      <c r="HI5" s="25">
        <f t="shared" si="3"/>
        <v>46297</v>
      </c>
      <c r="HJ5" s="25">
        <f t="shared" si="3"/>
        <v>46298</v>
      </c>
      <c r="HK5" s="25">
        <f t="shared" si="3"/>
        <v>46299</v>
      </c>
      <c r="HL5" s="25">
        <f t="shared" si="3"/>
        <v>46300</v>
      </c>
      <c r="HM5" s="25">
        <f t="shared" si="3"/>
        <v>46301</v>
      </c>
      <c r="HN5" s="25">
        <f t="shared" si="3"/>
        <v>46302</v>
      </c>
      <c r="HO5" s="25">
        <f t="shared" si="3"/>
        <v>46303</v>
      </c>
      <c r="HP5" s="25">
        <f t="shared" si="3"/>
        <v>46304</v>
      </c>
      <c r="HQ5" s="25">
        <f t="shared" si="3"/>
        <v>46305</v>
      </c>
      <c r="HR5" s="25">
        <f t="shared" si="3"/>
        <v>46306</v>
      </c>
      <c r="HS5" s="25">
        <f t="shared" si="3"/>
        <v>46307</v>
      </c>
      <c r="HT5" s="25">
        <f t="shared" si="3"/>
        <v>46308</v>
      </c>
      <c r="HU5" s="25">
        <f t="shared" si="3"/>
        <v>46309</v>
      </c>
      <c r="HV5" s="25">
        <f t="shared" si="3"/>
        <v>46310</v>
      </c>
      <c r="HW5" s="25">
        <f t="shared" si="3"/>
        <v>46311</v>
      </c>
      <c r="HX5" s="25">
        <f t="shared" si="3"/>
        <v>46312</v>
      </c>
      <c r="HY5" s="25">
        <f t="shared" si="3"/>
        <v>46313</v>
      </c>
      <c r="HZ5" s="25">
        <f t="shared" si="3"/>
        <v>46314</v>
      </c>
      <c r="IA5" s="25">
        <f t="shared" si="3"/>
        <v>46315</v>
      </c>
      <c r="IB5" s="25">
        <f t="shared" si="3"/>
        <v>46316</v>
      </c>
      <c r="IC5" s="25">
        <f t="shared" si="3"/>
        <v>46317</v>
      </c>
      <c r="ID5" s="25">
        <f t="shared" si="3"/>
        <v>46318</v>
      </c>
      <c r="IE5" s="25">
        <f t="shared" si="3"/>
        <v>46319</v>
      </c>
      <c r="IF5" s="25">
        <f t="shared" si="3"/>
        <v>46320</v>
      </c>
      <c r="IG5" s="25">
        <f t="shared" si="3"/>
        <v>46321</v>
      </c>
      <c r="IH5" s="25">
        <f t="shared" si="3"/>
        <v>46322</v>
      </c>
      <c r="II5" s="25">
        <f t="shared" si="3"/>
        <v>46323</v>
      </c>
      <c r="IJ5" s="25">
        <f t="shared" si="3"/>
        <v>46324</v>
      </c>
      <c r="IK5" s="25">
        <f t="shared" si="3"/>
        <v>46325</v>
      </c>
      <c r="IL5" s="25">
        <f t="shared" si="3"/>
        <v>46326</v>
      </c>
      <c r="IM5" s="25">
        <f t="shared" si="3"/>
        <v>46327</v>
      </c>
      <c r="IN5" s="25">
        <f t="shared" si="3"/>
        <v>46328</v>
      </c>
      <c r="IO5" s="25">
        <f t="shared" si="3"/>
        <v>46329</v>
      </c>
      <c r="IP5" s="25">
        <f t="shared" si="3"/>
        <v>46330</v>
      </c>
      <c r="IQ5" s="25">
        <f t="shared" si="3"/>
        <v>46331</v>
      </c>
      <c r="IR5" s="25">
        <f t="shared" si="3"/>
        <v>46332</v>
      </c>
      <c r="IS5" s="25">
        <f t="shared" si="3"/>
        <v>46333</v>
      </c>
      <c r="IT5" s="25">
        <f t="shared" si="3"/>
        <v>46334</v>
      </c>
      <c r="IU5" s="25">
        <f t="shared" si="3"/>
        <v>46335</v>
      </c>
      <c r="IV5" s="25">
        <f t="shared" si="3"/>
        <v>46336</v>
      </c>
      <c r="IW5" s="25">
        <f t="shared" si="3"/>
        <v>46337</v>
      </c>
      <c r="IX5" s="25">
        <f t="shared" si="3"/>
        <v>46338</v>
      </c>
      <c r="IY5" s="25">
        <f t="shared" si="3"/>
        <v>46339</v>
      </c>
      <c r="IZ5" s="25">
        <f t="shared" si="3"/>
        <v>46340</v>
      </c>
      <c r="JA5" s="25">
        <f t="shared" si="3"/>
        <v>46341</v>
      </c>
      <c r="JB5" s="25">
        <f t="shared" si="3"/>
        <v>46342</v>
      </c>
      <c r="JC5" s="25">
        <f t="shared" si="3"/>
        <v>46343</v>
      </c>
      <c r="JD5" s="25">
        <f t="shared" si="3"/>
        <v>46344</v>
      </c>
      <c r="JE5" s="25">
        <f t="shared" si="3"/>
        <v>46345</v>
      </c>
      <c r="JF5" s="25">
        <f t="shared" si="3"/>
        <v>46346</v>
      </c>
      <c r="JG5" s="25">
        <f t="shared" ref="JG5:KX5" si="4">JF5+1</f>
        <v>46347</v>
      </c>
      <c r="JH5" s="25">
        <f t="shared" si="4"/>
        <v>46348</v>
      </c>
      <c r="JI5" s="25">
        <f t="shared" si="4"/>
        <v>46349</v>
      </c>
      <c r="JJ5" s="25">
        <f t="shared" si="4"/>
        <v>46350</v>
      </c>
      <c r="JK5" s="25">
        <f t="shared" si="4"/>
        <v>46351</v>
      </c>
      <c r="JL5" s="25">
        <f t="shared" si="4"/>
        <v>46352</v>
      </c>
      <c r="JM5" s="25">
        <f t="shared" si="4"/>
        <v>46353</v>
      </c>
      <c r="JN5" s="25">
        <f t="shared" si="4"/>
        <v>46354</v>
      </c>
      <c r="JO5" s="25">
        <f t="shared" si="4"/>
        <v>46355</v>
      </c>
      <c r="JP5" s="25">
        <f t="shared" si="4"/>
        <v>46356</v>
      </c>
      <c r="JQ5" s="25">
        <f t="shared" si="4"/>
        <v>46357</v>
      </c>
      <c r="JR5" s="25">
        <f t="shared" si="4"/>
        <v>46358</v>
      </c>
      <c r="JS5" s="25">
        <f t="shared" si="4"/>
        <v>46359</v>
      </c>
      <c r="JT5" s="25">
        <f t="shared" si="4"/>
        <v>46360</v>
      </c>
      <c r="JU5" s="25">
        <f t="shared" si="4"/>
        <v>46361</v>
      </c>
      <c r="JV5" s="25">
        <f t="shared" si="4"/>
        <v>46362</v>
      </c>
      <c r="JW5" s="25">
        <f t="shared" si="4"/>
        <v>46363</v>
      </c>
      <c r="JX5" s="25">
        <f t="shared" si="4"/>
        <v>46364</v>
      </c>
      <c r="JY5" s="25">
        <f t="shared" si="4"/>
        <v>46365</v>
      </c>
      <c r="JZ5" s="25">
        <f t="shared" si="4"/>
        <v>46366</v>
      </c>
      <c r="KA5" s="25">
        <f t="shared" si="4"/>
        <v>46367</v>
      </c>
      <c r="KB5" s="25">
        <f t="shared" si="4"/>
        <v>46368</v>
      </c>
      <c r="KC5" s="25">
        <f t="shared" si="4"/>
        <v>46369</v>
      </c>
      <c r="KD5" s="25">
        <f t="shared" si="4"/>
        <v>46370</v>
      </c>
      <c r="KE5" s="25">
        <f t="shared" si="4"/>
        <v>46371</v>
      </c>
      <c r="KF5" s="25">
        <f t="shared" si="4"/>
        <v>46372</v>
      </c>
      <c r="KG5" s="25">
        <f t="shared" si="4"/>
        <v>46373</v>
      </c>
      <c r="KH5" s="25">
        <f t="shared" si="4"/>
        <v>46374</v>
      </c>
      <c r="KI5" s="25">
        <f t="shared" si="4"/>
        <v>46375</v>
      </c>
      <c r="KJ5" s="25">
        <f t="shared" si="4"/>
        <v>46376</v>
      </c>
      <c r="KK5" s="25">
        <f t="shared" si="4"/>
        <v>46377</v>
      </c>
      <c r="KL5" s="25">
        <f t="shared" si="4"/>
        <v>46378</v>
      </c>
      <c r="KM5" s="25">
        <f t="shared" si="4"/>
        <v>46379</v>
      </c>
      <c r="KN5" s="25">
        <f t="shared" si="4"/>
        <v>46380</v>
      </c>
      <c r="KO5" s="25">
        <f t="shared" si="4"/>
        <v>46381</v>
      </c>
      <c r="KP5" s="25">
        <f t="shared" si="4"/>
        <v>46382</v>
      </c>
      <c r="KQ5" s="25">
        <f t="shared" si="4"/>
        <v>46383</v>
      </c>
      <c r="KR5" s="25">
        <f t="shared" si="4"/>
        <v>46384</v>
      </c>
      <c r="KS5" s="25">
        <f t="shared" si="4"/>
        <v>46385</v>
      </c>
      <c r="KT5" s="25">
        <f t="shared" si="4"/>
        <v>46386</v>
      </c>
      <c r="KU5" s="25">
        <f t="shared" si="4"/>
        <v>46387</v>
      </c>
      <c r="KV5" s="25">
        <f t="shared" si="4"/>
        <v>46388</v>
      </c>
      <c r="KW5" s="25">
        <f t="shared" si="4"/>
        <v>46389</v>
      </c>
      <c r="KX5" s="25">
        <f t="shared" si="4"/>
        <v>46390</v>
      </c>
    </row>
    <row r="6" spans="1:310" ht="30" customHeight="1" x14ac:dyDescent="0.25">
      <c r="A6" s="6" t="s">
        <v>10</v>
      </c>
      <c r="B6" s="27" t="s">
        <v>11</v>
      </c>
      <c r="C6" s="28" t="s">
        <v>12</v>
      </c>
      <c r="D6" s="29" t="s">
        <v>13</v>
      </c>
      <c r="E6" s="29" t="s">
        <v>14</v>
      </c>
      <c r="F6" s="29" t="s">
        <v>15</v>
      </c>
      <c r="G6" s="29" t="s">
        <v>16</v>
      </c>
      <c r="H6" s="29"/>
      <c r="I6" s="29" t="s">
        <v>17</v>
      </c>
      <c r="J6" s="30" t="str">
        <f t="shared" ref="J6:BU6" si="5">CHOOSE(WEEKDAY(J5,2),"l","m","m","j","v","s","d")</f>
        <v>l</v>
      </c>
      <c r="K6" s="30" t="str">
        <f t="shared" si="5"/>
        <v>m</v>
      </c>
      <c r="L6" s="30" t="str">
        <f t="shared" si="5"/>
        <v>m</v>
      </c>
      <c r="M6" s="30" t="str">
        <f t="shared" si="5"/>
        <v>j</v>
      </c>
      <c r="N6" s="30" t="str">
        <f t="shared" si="5"/>
        <v>v</v>
      </c>
      <c r="O6" s="30" t="str">
        <f t="shared" si="5"/>
        <v>s</v>
      </c>
      <c r="P6" s="30" t="str">
        <f t="shared" si="5"/>
        <v>d</v>
      </c>
      <c r="Q6" s="30" t="str">
        <f t="shared" si="5"/>
        <v>l</v>
      </c>
      <c r="R6" s="30" t="str">
        <f t="shared" si="5"/>
        <v>m</v>
      </c>
      <c r="S6" s="30" t="str">
        <f t="shared" si="5"/>
        <v>m</v>
      </c>
      <c r="T6" s="30" t="str">
        <f t="shared" si="5"/>
        <v>j</v>
      </c>
      <c r="U6" s="30" t="str">
        <f t="shared" si="5"/>
        <v>v</v>
      </c>
      <c r="V6" s="30" t="str">
        <f t="shared" si="5"/>
        <v>s</v>
      </c>
      <c r="W6" s="30" t="str">
        <f t="shared" si="5"/>
        <v>d</v>
      </c>
      <c r="X6" s="30" t="str">
        <f t="shared" si="5"/>
        <v>l</v>
      </c>
      <c r="Y6" s="30" t="str">
        <f t="shared" si="5"/>
        <v>m</v>
      </c>
      <c r="Z6" s="30" t="str">
        <f t="shared" si="5"/>
        <v>m</v>
      </c>
      <c r="AA6" s="30" t="str">
        <f t="shared" si="5"/>
        <v>j</v>
      </c>
      <c r="AB6" s="30" t="str">
        <f t="shared" si="5"/>
        <v>v</v>
      </c>
      <c r="AC6" s="30" t="str">
        <f t="shared" si="5"/>
        <v>s</v>
      </c>
      <c r="AD6" s="30" t="str">
        <f t="shared" si="5"/>
        <v>d</v>
      </c>
      <c r="AE6" s="30" t="str">
        <f t="shared" si="5"/>
        <v>l</v>
      </c>
      <c r="AF6" s="30" t="str">
        <f t="shared" si="5"/>
        <v>m</v>
      </c>
      <c r="AG6" s="30" t="str">
        <f t="shared" si="5"/>
        <v>m</v>
      </c>
      <c r="AH6" s="30" t="str">
        <f t="shared" si="5"/>
        <v>j</v>
      </c>
      <c r="AI6" s="30" t="str">
        <f t="shared" si="5"/>
        <v>v</v>
      </c>
      <c r="AJ6" s="30" t="str">
        <f t="shared" si="5"/>
        <v>s</v>
      </c>
      <c r="AK6" s="30" t="str">
        <f t="shared" si="5"/>
        <v>d</v>
      </c>
      <c r="AL6" s="30" t="str">
        <f t="shared" si="5"/>
        <v>l</v>
      </c>
      <c r="AM6" s="30" t="str">
        <f t="shared" si="5"/>
        <v>m</v>
      </c>
      <c r="AN6" s="30" t="str">
        <f t="shared" si="5"/>
        <v>m</v>
      </c>
      <c r="AO6" s="30" t="str">
        <f t="shared" si="5"/>
        <v>j</v>
      </c>
      <c r="AP6" s="30" t="str">
        <f t="shared" si="5"/>
        <v>v</v>
      </c>
      <c r="AQ6" s="30" t="str">
        <f t="shared" si="5"/>
        <v>s</v>
      </c>
      <c r="AR6" s="30" t="str">
        <f t="shared" si="5"/>
        <v>d</v>
      </c>
      <c r="AS6" s="30" t="str">
        <f t="shared" si="5"/>
        <v>l</v>
      </c>
      <c r="AT6" s="30" t="str">
        <f t="shared" si="5"/>
        <v>m</v>
      </c>
      <c r="AU6" s="30" t="str">
        <f t="shared" si="5"/>
        <v>m</v>
      </c>
      <c r="AV6" s="30" t="str">
        <f t="shared" si="5"/>
        <v>j</v>
      </c>
      <c r="AW6" s="30" t="str">
        <f t="shared" si="5"/>
        <v>v</v>
      </c>
      <c r="AX6" s="30" t="str">
        <f t="shared" si="5"/>
        <v>s</v>
      </c>
      <c r="AY6" s="30" t="str">
        <f t="shared" si="5"/>
        <v>d</v>
      </c>
      <c r="AZ6" s="30" t="str">
        <f t="shared" si="5"/>
        <v>l</v>
      </c>
      <c r="BA6" s="30" t="str">
        <f t="shared" si="5"/>
        <v>m</v>
      </c>
      <c r="BB6" s="30" t="str">
        <f t="shared" si="5"/>
        <v>m</v>
      </c>
      <c r="BC6" s="30" t="str">
        <f t="shared" si="5"/>
        <v>j</v>
      </c>
      <c r="BD6" s="30" t="str">
        <f t="shared" si="5"/>
        <v>v</v>
      </c>
      <c r="BE6" s="30" t="str">
        <f t="shared" si="5"/>
        <v>s</v>
      </c>
      <c r="BF6" s="30" t="str">
        <f t="shared" si="5"/>
        <v>d</v>
      </c>
      <c r="BG6" s="30" t="str">
        <f t="shared" si="5"/>
        <v>l</v>
      </c>
      <c r="BH6" s="30" t="str">
        <f t="shared" si="5"/>
        <v>m</v>
      </c>
      <c r="BI6" s="30" t="str">
        <f t="shared" si="5"/>
        <v>m</v>
      </c>
      <c r="BJ6" s="30" t="str">
        <f t="shared" si="5"/>
        <v>j</v>
      </c>
      <c r="BK6" s="30" t="str">
        <f t="shared" si="5"/>
        <v>v</v>
      </c>
      <c r="BL6" s="30" t="str">
        <f t="shared" si="5"/>
        <v>s</v>
      </c>
      <c r="BM6" s="30" t="str">
        <f t="shared" si="5"/>
        <v>d</v>
      </c>
      <c r="BN6" s="30" t="str">
        <f t="shared" si="5"/>
        <v>l</v>
      </c>
      <c r="BO6" s="30" t="str">
        <f t="shared" si="5"/>
        <v>m</v>
      </c>
      <c r="BP6" s="30" t="str">
        <f t="shared" si="5"/>
        <v>m</v>
      </c>
      <c r="BQ6" s="30" t="str">
        <f t="shared" si="5"/>
        <v>j</v>
      </c>
      <c r="BR6" s="30" t="str">
        <f t="shared" si="5"/>
        <v>v</v>
      </c>
      <c r="BS6" s="30" t="str">
        <f t="shared" si="5"/>
        <v>s</v>
      </c>
      <c r="BT6" s="30" t="str">
        <f t="shared" si="5"/>
        <v>d</v>
      </c>
      <c r="BU6" s="30" t="str">
        <f t="shared" si="5"/>
        <v>l</v>
      </c>
      <c r="BV6" s="30" t="str">
        <f t="shared" ref="BV6:EG6" si="6">CHOOSE(WEEKDAY(BV5,2),"l","m","m","j","v","s","d")</f>
        <v>m</v>
      </c>
      <c r="BW6" s="30" t="str">
        <f t="shared" si="6"/>
        <v>m</v>
      </c>
      <c r="BX6" s="30" t="str">
        <f t="shared" si="6"/>
        <v>j</v>
      </c>
      <c r="BY6" s="30" t="str">
        <f t="shared" si="6"/>
        <v>v</v>
      </c>
      <c r="BZ6" s="30" t="str">
        <f t="shared" si="6"/>
        <v>s</v>
      </c>
      <c r="CA6" s="30" t="str">
        <f t="shared" si="6"/>
        <v>d</v>
      </c>
      <c r="CB6" s="30" t="str">
        <f t="shared" si="6"/>
        <v>l</v>
      </c>
      <c r="CC6" s="30" t="str">
        <f t="shared" si="6"/>
        <v>m</v>
      </c>
      <c r="CD6" s="30" t="str">
        <f t="shared" si="6"/>
        <v>m</v>
      </c>
      <c r="CE6" s="30" t="str">
        <f t="shared" si="6"/>
        <v>j</v>
      </c>
      <c r="CF6" s="30" t="str">
        <f t="shared" si="6"/>
        <v>v</v>
      </c>
      <c r="CG6" s="30" t="str">
        <f t="shared" si="6"/>
        <v>s</v>
      </c>
      <c r="CH6" s="30" t="str">
        <f t="shared" si="6"/>
        <v>d</v>
      </c>
      <c r="CI6" s="30" t="str">
        <f t="shared" si="6"/>
        <v>l</v>
      </c>
      <c r="CJ6" s="30" t="str">
        <f t="shared" si="6"/>
        <v>m</v>
      </c>
      <c r="CK6" s="30" t="str">
        <f t="shared" si="6"/>
        <v>m</v>
      </c>
      <c r="CL6" s="30" t="str">
        <f t="shared" si="6"/>
        <v>j</v>
      </c>
      <c r="CM6" s="30" t="str">
        <f t="shared" si="6"/>
        <v>v</v>
      </c>
      <c r="CN6" s="30" t="str">
        <f t="shared" si="6"/>
        <v>s</v>
      </c>
      <c r="CO6" s="30" t="str">
        <f t="shared" si="6"/>
        <v>d</v>
      </c>
      <c r="CP6" s="30" t="str">
        <f t="shared" si="6"/>
        <v>l</v>
      </c>
      <c r="CQ6" s="30" t="str">
        <f t="shared" si="6"/>
        <v>m</v>
      </c>
      <c r="CR6" s="30" t="str">
        <f t="shared" si="6"/>
        <v>m</v>
      </c>
      <c r="CS6" s="30" t="str">
        <f t="shared" si="6"/>
        <v>j</v>
      </c>
      <c r="CT6" s="30" t="str">
        <f t="shared" si="6"/>
        <v>v</v>
      </c>
      <c r="CU6" s="30" t="str">
        <f t="shared" si="6"/>
        <v>s</v>
      </c>
      <c r="CV6" s="30" t="str">
        <f t="shared" si="6"/>
        <v>d</v>
      </c>
      <c r="CW6" s="30" t="str">
        <f t="shared" si="6"/>
        <v>l</v>
      </c>
      <c r="CX6" s="30" t="str">
        <f t="shared" si="6"/>
        <v>m</v>
      </c>
      <c r="CY6" s="30" t="str">
        <f t="shared" si="6"/>
        <v>m</v>
      </c>
      <c r="CZ6" s="30" t="str">
        <f t="shared" si="6"/>
        <v>j</v>
      </c>
      <c r="DA6" s="30" t="str">
        <f t="shared" si="6"/>
        <v>v</v>
      </c>
      <c r="DB6" s="30" t="str">
        <f t="shared" si="6"/>
        <v>s</v>
      </c>
      <c r="DC6" s="30" t="str">
        <f t="shared" si="6"/>
        <v>d</v>
      </c>
      <c r="DD6" s="30" t="str">
        <f t="shared" si="6"/>
        <v>l</v>
      </c>
      <c r="DE6" s="30" t="str">
        <f t="shared" si="6"/>
        <v>m</v>
      </c>
      <c r="DF6" s="30" t="str">
        <f t="shared" si="6"/>
        <v>m</v>
      </c>
      <c r="DG6" s="30" t="str">
        <f t="shared" si="6"/>
        <v>j</v>
      </c>
      <c r="DH6" s="30" t="str">
        <f t="shared" si="6"/>
        <v>v</v>
      </c>
      <c r="DI6" s="30" t="str">
        <f t="shared" si="6"/>
        <v>s</v>
      </c>
      <c r="DJ6" s="30" t="str">
        <f t="shared" si="6"/>
        <v>d</v>
      </c>
      <c r="DK6" s="30" t="str">
        <f t="shared" si="6"/>
        <v>l</v>
      </c>
      <c r="DL6" s="30" t="str">
        <f t="shared" si="6"/>
        <v>m</v>
      </c>
      <c r="DM6" s="30" t="str">
        <f t="shared" si="6"/>
        <v>m</v>
      </c>
      <c r="DN6" s="30" t="str">
        <f t="shared" si="6"/>
        <v>j</v>
      </c>
      <c r="DO6" s="30" t="str">
        <f t="shared" si="6"/>
        <v>v</v>
      </c>
      <c r="DP6" s="30" t="str">
        <f t="shared" si="6"/>
        <v>s</v>
      </c>
      <c r="DQ6" s="30" t="str">
        <f t="shared" si="6"/>
        <v>d</v>
      </c>
      <c r="DR6" s="30" t="str">
        <f t="shared" si="6"/>
        <v>l</v>
      </c>
      <c r="DS6" s="30" t="str">
        <f t="shared" si="6"/>
        <v>m</v>
      </c>
      <c r="DT6" s="30" t="str">
        <f t="shared" si="6"/>
        <v>m</v>
      </c>
      <c r="DU6" s="30" t="str">
        <f t="shared" si="6"/>
        <v>j</v>
      </c>
      <c r="DV6" s="30" t="str">
        <f t="shared" si="6"/>
        <v>v</v>
      </c>
      <c r="DW6" s="30" t="str">
        <f t="shared" si="6"/>
        <v>s</v>
      </c>
      <c r="DX6" s="30" t="str">
        <f t="shared" si="6"/>
        <v>d</v>
      </c>
      <c r="DY6" s="30" t="str">
        <f t="shared" si="6"/>
        <v>l</v>
      </c>
      <c r="DZ6" s="30" t="str">
        <f t="shared" si="6"/>
        <v>m</v>
      </c>
      <c r="EA6" s="30" t="str">
        <f t="shared" si="6"/>
        <v>m</v>
      </c>
      <c r="EB6" s="30" t="str">
        <f t="shared" si="6"/>
        <v>j</v>
      </c>
      <c r="EC6" s="30" t="str">
        <f t="shared" si="6"/>
        <v>v</v>
      </c>
      <c r="ED6" s="30" t="str">
        <f t="shared" si="6"/>
        <v>s</v>
      </c>
      <c r="EE6" s="30" t="str">
        <f t="shared" si="6"/>
        <v>d</v>
      </c>
      <c r="EF6" s="30" t="str">
        <f t="shared" si="6"/>
        <v>l</v>
      </c>
      <c r="EG6" s="30" t="str">
        <f t="shared" si="6"/>
        <v>m</v>
      </c>
      <c r="EH6" s="30" t="str">
        <f t="shared" ref="EH6:GS6" si="7">CHOOSE(WEEKDAY(EH5,2),"l","m","m","j","v","s","d")</f>
        <v>m</v>
      </c>
      <c r="EI6" s="30" t="str">
        <f t="shared" si="7"/>
        <v>j</v>
      </c>
      <c r="EJ6" s="30" t="str">
        <f t="shared" si="7"/>
        <v>v</v>
      </c>
      <c r="EK6" s="30" t="str">
        <f t="shared" si="7"/>
        <v>s</v>
      </c>
      <c r="EL6" s="30" t="str">
        <f t="shared" si="7"/>
        <v>d</v>
      </c>
      <c r="EM6" s="30" t="str">
        <f t="shared" si="7"/>
        <v>l</v>
      </c>
      <c r="EN6" s="30" t="str">
        <f t="shared" si="7"/>
        <v>m</v>
      </c>
      <c r="EO6" s="30" t="str">
        <f t="shared" si="7"/>
        <v>m</v>
      </c>
      <c r="EP6" s="30" t="str">
        <f t="shared" si="7"/>
        <v>j</v>
      </c>
      <c r="EQ6" s="30" t="str">
        <f t="shared" si="7"/>
        <v>v</v>
      </c>
      <c r="ER6" s="30" t="str">
        <f t="shared" si="7"/>
        <v>s</v>
      </c>
      <c r="ES6" s="30" t="str">
        <f t="shared" si="7"/>
        <v>d</v>
      </c>
      <c r="ET6" s="30" t="str">
        <f t="shared" si="7"/>
        <v>l</v>
      </c>
      <c r="EU6" s="30" t="str">
        <f t="shared" si="7"/>
        <v>m</v>
      </c>
      <c r="EV6" s="30" t="str">
        <f t="shared" si="7"/>
        <v>m</v>
      </c>
      <c r="EW6" s="30" t="str">
        <f t="shared" si="7"/>
        <v>j</v>
      </c>
      <c r="EX6" s="30" t="str">
        <f t="shared" si="7"/>
        <v>v</v>
      </c>
      <c r="EY6" s="30" t="str">
        <f t="shared" si="7"/>
        <v>s</v>
      </c>
      <c r="EZ6" s="30" t="str">
        <f t="shared" si="7"/>
        <v>d</v>
      </c>
      <c r="FA6" s="30" t="str">
        <f t="shared" si="7"/>
        <v>l</v>
      </c>
      <c r="FB6" s="30" t="str">
        <f t="shared" si="7"/>
        <v>m</v>
      </c>
      <c r="FC6" s="30" t="str">
        <f t="shared" si="7"/>
        <v>m</v>
      </c>
      <c r="FD6" s="30" t="str">
        <f t="shared" si="7"/>
        <v>j</v>
      </c>
      <c r="FE6" s="30" t="str">
        <f t="shared" si="7"/>
        <v>v</v>
      </c>
      <c r="FF6" s="30" t="str">
        <f t="shared" si="7"/>
        <v>s</v>
      </c>
      <c r="FG6" s="30" t="str">
        <f t="shared" si="7"/>
        <v>d</v>
      </c>
      <c r="FH6" s="30" t="str">
        <f t="shared" si="7"/>
        <v>l</v>
      </c>
      <c r="FI6" s="30" t="str">
        <f t="shared" si="7"/>
        <v>m</v>
      </c>
      <c r="FJ6" s="30" t="str">
        <f t="shared" si="7"/>
        <v>m</v>
      </c>
      <c r="FK6" s="30" t="str">
        <f t="shared" si="7"/>
        <v>j</v>
      </c>
      <c r="FL6" s="30" t="str">
        <f t="shared" si="7"/>
        <v>v</v>
      </c>
      <c r="FM6" s="30" t="str">
        <f t="shared" si="7"/>
        <v>s</v>
      </c>
      <c r="FN6" s="30" t="str">
        <f t="shared" si="7"/>
        <v>d</v>
      </c>
      <c r="FO6" s="30" t="str">
        <f t="shared" si="7"/>
        <v>l</v>
      </c>
      <c r="FP6" s="30" t="str">
        <f t="shared" si="7"/>
        <v>m</v>
      </c>
      <c r="FQ6" s="30" t="str">
        <f t="shared" si="7"/>
        <v>m</v>
      </c>
      <c r="FR6" s="30" t="str">
        <f t="shared" si="7"/>
        <v>j</v>
      </c>
      <c r="FS6" s="30" t="str">
        <f t="shared" si="7"/>
        <v>v</v>
      </c>
      <c r="FT6" s="30" t="str">
        <f t="shared" si="7"/>
        <v>s</v>
      </c>
      <c r="FU6" s="30" t="str">
        <f t="shared" si="7"/>
        <v>d</v>
      </c>
      <c r="FV6" s="30" t="str">
        <f t="shared" si="7"/>
        <v>l</v>
      </c>
      <c r="FW6" s="30" t="str">
        <f t="shared" si="7"/>
        <v>m</v>
      </c>
      <c r="FX6" s="30" t="str">
        <f t="shared" si="7"/>
        <v>m</v>
      </c>
      <c r="FY6" s="30" t="str">
        <f t="shared" si="7"/>
        <v>j</v>
      </c>
      <c r="FZ6" s="30" t="str">
        <f t="shared" si="7"/>
        <v>v</v>
      </c>
      <c r="GA6" s="30" t="str">
        <f t="shared" si="7"/>
        <v>s</v>
      </c>
      <c r="GB6" s="30" t="str">
        <f t="shared" si="7"/>
        <v>d</v>
      </c>
      <c r="GC6" s="30" t="str">
        <f t="shared" si="7"/>
        <v>l</v>
      </c>
      <c r="GD6" s="30" t="str">
        <f t="shared" si="7"/>
        <v>m</v>
      </c>
      <c r="GE6" s="30" t="str">
        <f t="shared" si="7"/>
        <v>m</v>
      </c>
      <c r="GF6" s="30" t="str">
        <f t="shared" si="7"/>
        <v>j</v>
      </c>
      <c r="GG6" s="30" t="str">
        <f t="shared" si="7"/>
        <v>v</v>
      </c>
      <c r="GH6" s="30" t="str">
        <f t="shared" si="7"/>
        <v>s</v>
      </c>
      <c r="GI6" s="30" t="str">
        <f t="shared" si="7"/>
        <v>d</v>
      </c>
      <c r="GJ6" s="30" t="str">
        <f t="shared" si="7"/>
        <v>l</v>
      </c>
      <c r="GK6" s="30" t="str">
        <f t="shared" si="7"/>
        <v>m</v>
      </c>
      <c r="GL6" s="30" t="str">
        <f t="shared" si="7"/>
        <v>m</v>
      </c>
      <c r="GM6" s="30" t="str">
        <f t="shared" si="7"/>
        <v>j</v>
      </c>
      <c r="GN6" s="30" t="str">
        <f t="shared" si="7"/>
        <v>v</v>
      </c>
      <c r="GO6" s="30" t="str">
        <f t="shared" si="7"/>
        <v>s</v>
      </c>
      <c r="GP6" s="30" t="str">
        <f t="shared" si="7"/>
        <v>d</v>
      </c>
      <c r="GQ6" s="30" t="str">
        <f t="shared" si="7"/>
        <v>l</v>
      </c>
      <c r="GR6" s="30" t="str">
        <f t="shared" si="7"/>
        <v>m</v>
      </c>
      <c r="GS6" s="30" t="str">
        <f t="shared" si="7"/>
        <v>m</v>
      </c>
      <c r="GT6" s="30" t="str">
        <f t="shared" ref="GT6:JE6" si="8">CHOOSE(WEEKDAY(GT5,2),"l","m","m","j","v","s","d")</f>
        <v>j</v>
      </c>
      <c r="GU6" s="30" t="str">
        <f t="shared" si="8"/>
        <v>v</v>
      </c>
      <c r="GV6" s="30" t="str">
        <f t="shared" si="8"/>
        <v>s</v>
      </c>
      <c r="GW6" s="30" t="str">
        <f t="shared" si="8"/>
        <v>d</v>
      </c>
      <c r="GX6" s="30" t="str">
        <f t="shared" si="8"/>
        <v>l</v>
      </c>
      <c r="GY6" s="30" t="str">
        <f t="shared" si="8"/>
        <v>m</v>
      </c>
      <c r="GZ6" s="30" t="str">
        <f t="shared" si="8"/>
        <v>m</v>
      </c>
      <c r="HA6" s="30" t="str">
        <f t="shared" si="8"/>
        <v>j</v>
      </c>
      <c r="HB6" s="30" t="str">
        <f t="shared" si="8"/>
        <v>v</v>
      </c>
      <c r="HC6" s="30" t="str">
        <f t="shared" si="8"/>
        <v>s</v>
      </c>
      <c r="HD6" s="30" t="str">
        <f t="shared" si="8"/>
        <v>d</v>
      </c>
      <c r="HE6" s="30" t="str">
        <f t="shared" si="8"/>
        <v>l</v>
      </c>
      <c r="HF6" s="30" t="str">
        <f t="shared" si="8"/>
        <v>m</v>
      </c>
      <c r="HG6" s="30" t="str">
        <f t="shared" si="8"/>
        <v>m</v>
      </c>
      <c r="HH6" s="30" t="str">
        <f t="shared" si="8"/>
        <v>j</v>
      </c>
      <c r="HI6" s="30" t="str">
        <f t="shared" si="8"/>
        <v>v</v>
      </c>
      <c r="HJ6" s="30" t="str">
        <f t="shared" si="8"/>
        <v>s</v>
      </c>
      <c r="HK6" s="30" t="str">
        <f t="shared" si="8"/>
        <v>d</v>
      </c>
      <c r="HL6" s="30" t="str">
        <f t="shared" si="8"/>
        <v>l</v>
      </c>
      <c r="HM6" s="30" t="str">
        <f t="shared" si="8"/>
        <v>m</v>
      </c>
      <c r="HN6" s="30" t="str">
        <f t="shared" si="8"/>
        <v>m</v>
      </c>
      <c r="HO6" s="30" t="str">
        <f t="shared" si="8"/>
        <v>j</v>
      </c>
      <c r="HP6" s="30" t="str">
        <f t="shared" si="8"/>
        <v>v</v>
      </c>
      <c r="HQ6" s="30" t="str">
        <f t="shared" si="8"/>
        <v>s</v>
      </c>
      <c r="HR6" s="30" t="str">
        <f t="shared" si="8"/>
        <v>d</v>
      </c>
      <c r="HS6" s="30" t="str">
        <f t="shared" si="8"/>
        <v>l</v>
      </c>
      <c r="HT6" s="30" t="str">
        <f t="shared" si="8"/>
        <v>m</v>
      </c>
      <c r="HU6" s="30" t="str">
        <f t="shared" si="8"/>
        <v>m</v>
      </c>
      <c r="HV6" s="30" t="str">
        <f t="shared" si="8"/>
        <v>j</v>
      </c>
      <c r="HW6" s="30" t="str">
        <f t="shared" si="8"/>
        <v>v</v>
      </c>
      <c r="HX6" s="30" t="str">
        <f t="shared" si="8"/>
        <v>s</v>
      </c>
      <c r="HY6" s="30" t="str">
        <f t="shared" si="8"/>
        <v>d</v>
      </c>
      <c r="HZ6" s="30" t="str">
        <f t="shared" si="8"/>
        <v>l</v>
      </c>
      <c r="IA6" s="30" t="str">
        <f t="shared" si="8"/>
        <v>m</v>
      </c>
      <c r="IB6" s="30" t="str">
        <f t="shared" si="8"/>
        <v>m</v>
      </c>
      <c r="IC6" s="30" t="str">
        <f t="shared" si="8"/>
        <v>j</v>
      </c>
      <c r="ID6" s="30" t="str">
        <f t="shared" si="8"/>
        <v>v</v>
      </c>
      <c r="IE6" s="30" t="str">
        <f t="shared" si="8"/>
        <v>s</v>
      </c>
      <c r="IF6" s="30" t="str">
        <f t="shared" si="8"/>
        <v>d</v>
      </c>
      <c r="IG6" s="30" t="str">
        <f t="shared" si="8"/>
        <v>l</v>
      </c>
      <c r="IH6" s="30" t="str">
        <f t="shared" si="8"/>
        <v>m</v>
      </c>
      <c r="II6" s="30" t="str">
        <f t="shared" si="8"/>
        <v>m</v>
      </c>
      <c r="IJ6" s="30" t="str">
        <f t="shared" si="8"/>
        <v>j</v>
      </c>
      <c r="IK6" s="30" t="str">
        <f t="shared" si="8"/>
        <v>v</v>
      </c>
      <c r="IL6" s="30" t="str">
        <f t="shared" si="8"/>
        <v>s</v>
      </c>
      <c r="IM6" s="30" t="str">
        <f t="shared" si="8"/>
        <v>d</v>
      </c>
      <c r="IN6" s="30" t="str">
        <f t="shared" si="8"/>
        <v>l</v>
      </c>
      <c r="IO6" s="30" t="str">
        <f t="shared" si="8"/>
        <v>m</v>
      </c>
      <c r="IP6" s="30" t="str">
        <f t="shared" si="8"/>
        <v>m</v>
      </c>
      <c r="IQ6" s="30" t="str">
        <f t="shared" si="8"/>
        <v>j</v>
      </c>
      <c r="IR6" s="30" t="str">
        <f t="shared" si="8"/>
        <v>v</v>
      </c>
      <c r="IS6" s="30" t="str">
        <f t="shared" si="8"/>
        <v>s</v>
      </c>
      <c r="IT6" s="30" t="str">
        <f t="shared" si="8"/>
        <v>d</v>
      </c>
      <c r="IU6" s="30" t="str">
        <f t="shared" si="8"/>
        <v>l</v>
      </c>
      <c r="IV6" s="30" t="str">
        <f t="shared" si="8"/>
        <v>m</v>
      </c>
      <c r="IW6" s="30" t="str">
        <f t="shared" si="8"/>
        <v>m</v>
      </c>
      <c r="IX6" s="30" t="str">
        <f t="shared" si="8"/>
        <v>j</v>
      </c>
      <c r="IY6" s="30" t="str">
        <f t="shared" si="8"/>
        <v>v</v>
      </c>
      <c r="IZ6" s="30" t="str">
        <f t="shared" si="8"/>
        <v>s</v>
      </c>
      <c r="JA6" s="30" t="str">
        <f t="shared" si="8"/>
        <v>d</v>
      </c>
      <c r="JB6" s="30" t="str">
        <f t="shared" si="8"/>
        <v>l</v>
      </c>
      <c r="JC6" s="30" t="str">
        <f t="shared" si="8"/>
        <v>m</v>
      </c>
      <c r="JD6" s="30" t="str">
        <f t="shared" si="8"/>
        <v>m</v>
      </c>
      <c r="JE6" s="30" t="str">
        <f t="shared" si="8"/>
        <v>j</v>
      </c>
      <c r="JF6" s="30" t="str">
        <f t="shared" ref="JF6:LQ6" si="9">CHOOSE(WEEKDAY(JF5,2),"l","m","m","j","v","s","d")</f>
        <v>v</v>
      </c>
      <c r="JG6" s="30" t="str">
        <f t="shared" si="9"/>
        <v>s</v>
      </c>
      <c r="JH6" s="30" t="str">
        <f t="shared" si="9"/>
        <v>d</v>
      </c>
      <c r="JI6" s="30" t="str">
        <f t="shared" si="9"/>
        <v>l</v>
      </c>
      <c r="JJ6" s="30" t="str">
        <f t="shared" si="9"/>
        <v>m</v>
      </c>
      <c r="JK6" s="30" t="str">
        <f t="shared" si="9"/>
        <v>m</v>
      </c>
      <c r="JL6" s="30" t="str">
        <f t="shared" si="9"/>
        <v>j</v>
      </c>
      <c r="JM6" s="30" t="str">
        <f t="shared" si="9"/>
        <v>v</v>
      </c>
      <c r="JN6" s="30" t="str">
        <f t="shared" si="9"/>
        <v>s</v>
      </c>
      <c r="JO6" s="30" t="str">
        <f t="shared" si="9"/>
        <v>d</v>
      </c>
      <c r="JP6" s="30" t="str">
        <f t="shared" si="9"/>
        <v>l</v>
      </c>
      <c r="JQ6" s="30" t="str">
        <f t="shared" si="9"/>
        <v>m</v>
      </c>
      <c r="JR6" s="30" t="str">
        <f t="shared" si="9"/>
        <v>m</v>
      </c>
      <c r="JS6" s="30" t="str">
        <f t="shared" si="9"/>
        <v>j</v>
      </c>
      <c r="JT6" s="30" t="str">
        <f t="shared" si="9"/>
        <v>v</v>
      </c>
      <c r="JU6" s="30" t="str">
        <f t="shared" si="9"/>
        <v>s</v>
      </c>
      <c r="JV6" s="30" t="str">
        <f t="shared" si="9"/>
        <v>d</v>
      </c>
      <c r="JW6" s="30" t="str">
        <f t="shared" si="9"/>
        <v>l</v>
      </c>
      <c r="JX6" s="30" t="str">
        <f t="shared" si="9"/>
        <v>m</v>
      </c>
      <c r="JY6" s="30" t="str">
        <f t="shared" si="9"/>
        <v>m</v>
      </c>
      <c r="JZ6" s="30" t="str">
        <f t="shared" si="9"/>
        <v>j</v>
      </c>
      <c r="KA6" s="30" t="str">
        <f t="shared" si="9"/>
        <v>v</v>
      </c>
      <c r="KB6" s="30" t="str">
        <f t="shared" si="9"/>
        <v>s</v>
      </c>
      <c r="KC6" s="30" t="str">
        <f t="shared" si="9"/>
        <v>d</v>
      </c>
      <c r="KD6" s="30" t="str">
        <f t="shared" si="9"/>
        <v>l</v>
      </c>
      <c r="KE6" s="30" t="str">
        <f t="shared" si="9"/>
        <v>m</v>
      </c>
      <c r="KF6" s="30" t="str">
        <f t="shared" si="9"/>
        <v>m</v>
      </c>
      <c r="KG6" s="30" t="str">
        <f t="shared" si="9"/>
        <v>j</v>
      </c>
      <c r="KH6" s="30" t="str">
        <f t="shared" si="9"/>
        <v>v</v>
      </c>
      <c r="KI6" s="30" t="str">
        <f t="shared" si="9"/>
        <v>s</v>
      </c>
      <c r="KJ6" s="30" t="str">
        <f t="shared" si="9"/>
        <v>d</v>
      </c>
      <c r="KK6" s="30" t="str">
        <f t="shared" si="9"/>
        <v>l</v>
      </c>
      <c r="KL6" s="30" t="str">
        <f t="shared" si="9"/>
        <v>m</v>
      </c>
      <c r="KM6" s="30" t="str">
        <f t="shared" si="9"/>
        <v>m</v>
      </c>
      <c r="KN6" s="30" t="str">
        <f t="shared" si="9"/>
        <v>j</v>
      </c>
      <c r="KO6" s="30" t="str">
        <f t="shared" si="9"/>
        <v>v</v>
      </c>
      <c r="KP6" s="30" t="str">
        <f t="shared" si="9"/>
        <v>s</v>
      </c>
      <c r="KQ6" s="30" t="str">
        <f t="shared" si="9"/>
        <v>d</v>
      </c>
      <c r="KR6" s="30" t="str">
        <f t="shared" si="9"/>
        <v>l</v>
      </c>
      <c r="KS6" s="30" t="str">
        <f t="shared" si="9"/>
        <v>m</v>
      </c>
      <c r="KT6" s="30" t="str">
        <f t="shared" si="9"/>
        <v>m</v>
      </c>
      <c r="KU6" s="30" t="str">
        <f t="shared" si="9"/>
        <v>j</v>
      </c>
      <c r="KV6" s="30" t="str">
        <f t="shared" si="9"/>
        <v>v</v>
      </c>
      <c r="KW6" s="30" t="str">
        <f t="shared" si="9"/>
        <v>s</v>
      </c>
      <c r="KX6" s="30" t="str">
        <f t="shared" si="9"/>
        <v>d</v>
      </c>
    </row>
    <row r="7" spans="1:310" ht="30" hidden="1" customHeight="1" x14ac:dyDescent="0.25">
      <c r="A7" s="4" t="s">
        <v>18</v>
      </c>
      <c r="D7" s="31"/>
      <c r="I7" t="str">
        <f>IF(OR(ISBLANK(task_start),ISBLANK(task_end)),"",task_end-task_start+1)</f>
        <v/>
      </c>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32"/>
      <c r="GR7" s="32"/>
      <c r="GS7" s="32"/>
      <c r="GT7" s="32"/>
      <c r="GU7" s="32"/>
      <c r="GV7" s="32"/>
      <c r="GW7" s="32"/>
      <c r="GX7" s="32"/>
      <c r="GY7" s="32"/>
      <c r="GZ7" s="32"/>
      <c r="HA7" s="32"/>
      <c r="HB7" s="32"/>
      <c r="HC7" s="32"/>
      <c r="HD7" s="32"/>
      <c r="HE7" s="32"/>
      <c r="HF7" s="32"/>
      <c r="HG7" s="32"/>
      <c r="HH7" s="32"/>
      <c r="HI7" s="32"/>
      <c r="HJ7" s="32"/>
      <c r="HK7" s="32"/>
      <c r="HL7" s="32"/>
      <c r="HM7" s="32"/>
      <c r="HN7" s="32"/>
      <c r="HO7" s="32"/>
      <c r="HP7" s="32"/>
      <c r="HQ7" s="32"/>
      <c r="HR7" s="32"/>
      <c r="HS7" s="32"/>
      <c r="HT7" s="32"/>
      <c r="HU7" s="32"/>
      <c r="HV7" s="32"/>
      <c r="HW7" s="32"/>
      <c r="HX7" s="32"/>
      <c r="HY7" s="32"/>
      <c r="HZ7" s="32"/>
      <c r="IA7" s="32"/>
      <c r="IB7" s="32"/>
      <c r="IC7" s="32"/>
      <c r="ID7" s="32"/>
      <c r="IE7" s="32"/>
      <c r="IF7" s="32"/>
      <c r="IG7" s="32"/>
      <c r="IH7" s="32"/>
      <c r="II7" s="32"/>
      <c r="IJ7" s="32"/>
      <c r="IK7" s="32"/>
      <c r="IL7" s="32"/>
      <c r="IM7" s="32"/>
      <c r="IN7" s="32"/>
      <c r="IO7" s="32"/>
      <c r="IP7" s="32"/>
      <c r="IQ7" s="32"/>
      <c r="IR7" s="32"/>
      <c r="IS7" s="32"/>
      <c r="IT7" s="32"/>
      <c r="IU7" s="32"/>
      <c r="IV7" s="32"/>
      <c r="IW7" s="32"/>
      <c r="IX7" s="32"/>
      <c r="IY7" s="32"/>
      <c r="IZ7" s="32"/>
      <c r="JA7" s="32"/>
      <c r="JB7" s="32"/>
      <c r="JC7" s="32"/>
      <c r="JD7" s="32"/>
      <c r="JE7" s="32"/>
      <c r="JF7" s="32"/>
      <c r="JG7" s="32"/>
      <c r="JH7" s="32"/>
      <c r="JI7" s="32"/>
      <c r="JJ7" s="32"/>
      <c r="JK7" s="32"/>
      <c r="JL7" s="32"/>
      <c r="JM7" s="32"/>
      <c r="JN7" s="32"/>
      <c r="JO7" s="32"/>
      <c r="JP7" s="32"/>
      <c r="JQ7" s="32"/>
      <c r="JR7" s="32"/>
      <c r="JS7" s="32"/>
      <c r="JT7" s="32"/>
      <c r="JU7" s="32"/>
      <c r="JV7" s="32"/>
      <c r="JW7" s="32"/>
      <c r="JX7" s="32"/>
      <c r="JY7" s="32"/>
      <c r="JZ7" s="32"/>
      <c r="KA7" s="32"/>
      <c r="KB7" s="32"/>
      <c r="KC7" s="32"/>
      <c r="KD7" s="32"/>
      <c r="KE7" s="32"/>
      <c r="KF7" s="32"/>
      <c r="KG7" s="32"/>
      <c r="KH7" s="32"/>
      <c r="KI7" s="32"/>
      <c r="KJ7" s="32"/>
      <c r="KK7" s="32"/>
      <c r="KL7" s="32"/>
      <c r="KM7" s="32"/>
      <c r="KN7" s="32"/>
      <c r="KO7" s="32"/>
      <c r="KP7" s="32"/>
      <c r="KQ7" s="32"/>
      <c r="KR7" s="32"/>
      <c r="KS7" s="32"/>
      <c r="KT7" s="32"/>
      <c r="KU7" s="32"/>
      <c r="KV7" s="32"/>
      <c r="KW7" s="32"/>
      <c r="KX7" s="32"/>
    </row>
    <row r="8" spans="1:310" s="40" customFormat="1" ht="29.25" customHeight="1" x14ac:dyDescent="0.25">
      <c r="A8" s="6" t="s">
        <v>19</v>
      </c>
      <c r="B8" s="33" t="s">
        <v>20</v>
      </c>
      <c r="C8" s="34"/>
      <c r="D8" s="35"/>
      <c r="E8" s="36"/>
      <c r="F8" s="37"/>
      <c r="G8" s="38"/>
      <c r="H8" s="39"/>
      <c r="I8" s="39" t="str">
        <f>IF(OR(ISBLANK(task_start),ISBLANK(task_end)),"",task_end-task_start+1)</f>
        <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32"/>
      <c r="GR8" s="32"/>
      <c r="GS8" s="32"/>
      <c r="GT8" s="32"/>
      <c r="GU8" s="32"/>
      <c r="GV8" s="32"/>
      <c r="GW8" s="32"/>
      <c r="GX8" s="32"/>
      <c r="GY8" s="32"/>
      <c r="GZ8" s="32"/>
      <c r="HA8" s="32"/>
      <c r="HB8" s="32"/>
      <c r="HC8" s="32"/>
      <c r="HD8" s="32"/>
      <c r="HE8" s="32"/>
      <c r="HF8" s="32"/>
      <c r="HG8" s="32"/>
      <c r="HH8" s="32"/>
      <c r="HI8" s="32"/>
      <c r="HJ8" s="32"/>
      <c r="HK8" s="32"/>
      <c r="HL8" s="32"/>
      <c r="HM8" s="32"/>
      <c r="HN8" s="32"/>
      <c r="HO8" s="32"/>
      <c r="HP8" s="32"/>
      <c r="HQ8" s="32"/>
      <c r="HR8" s="32"/>
      <c r="HS8" s="32"/>
      <c r="HT8" s="32"/>
      <c r="HU8" s="32"/>
      <c r="HV8" s="32"/>
      <c r="HW8" s="32"/>
      <c r="HX8" s="32"/>
      <c r="HY8" s="32"/>
      <c r="HZ8" s="32"/>
      <c r="IA8" s="32"/>
      <c r="IB8" s="32"/>
      <c r="IC8" s="32"/>
      <c r="ID8" s="32"/>
      <c r="IE8" s="32"/>
      <c r="IF8" s="32"/>
      <c r="IG8" s="32"/>
      <c r="IH8" s="32"/>
      <c r="II8" s="32"/>
      <c r="IJ8" s="32"/>
      <c r="IK8" s="32"/>
      <c r="IL8" s="32"/>
      <c r="IM8" s="32"/>
      <c r="IN8" s="32"/>
      <c r="IO8" s="32"/>
      <c r="IP8" s="32"/>
      <c r="IQ8" s="32"/>
      <c r="IR8" s="32"/>
      <c r="IS8" s="32"/>
      <c r="IT8" s="32"/>
      <c r="IU8" s="32"/>
      <c r="IV8" s="32"/>
      <c r="IW8" s="32"/>
      <c r="IX8" s="32"/>
      <c r="IY8" s="32"/>
      <c r="IZ8" s="32"/>
      <c r="JA8" s="32"/>
      <c r="JB8" s="32"/>
      <c r="JC8" s="32"/>
      <c r="JD8" s="32"/>
      <c r="JE8" s="32"/>
      <c r="JF8" s="32"/>
      <c r="JG8" s="32"/>
      <c r="JH8" s="32"/>
      <c r="JI8" s="32"/>
      <c r="JJ8" s="32"/>
      <c r="JK8" s="32"/>
      <c r="JL8" s="32"/>
      <c r="JM8" s="32"/>
      <c r="JN8" s="32"/>
      <c r="JO8" s="32"/>
      <c r="JP8" s="32"/>
      <c r="JQ8" s="32"/>
      <c r="JR8" s="32"/>
      <c r="JS8" s="32"/>
      <c r="JT8" s="32"/>
      <c r="JU8" s="32"/>
      <c r="JV8" s="32"/>
      <c r="JW8" s="32"/>
      <c r="JX8" s="32"/>
      <c r="JY8" s="32"/>
      <c r="JZ8" s="32"/>
      <c r="KA8" s="32"/>
      <c r="KB8" s="32"/>
      <c r="KC8" s="32"/>
      <c r="KD8" s="32"/>
      <c r="KE8" s="32"/>
      <c r="KF8" s="32"/>
      <c r="KG8" s="32"/>
      <c r="KH8" s="32"/>
      <c r="KI8" s="32"/>
      <c r="KJ8" s="32"/>
      <c r="KK8" s="32"/>
      <c r="KL8" s="32"/>
      <c r="KM8" s="32"/>
      <c r="KN8" s="32"/>
      <c r="KO8" s="32"/>
      <c r="KP8" s="32"/>
      <c r="KQ8" s="32"/>
      <c r="KR8" s="32"/>
      <c r="KS8" s="32"/>
      <c r="KT8" s="32"/>
      <c r="KU8" s="32"/>
      <c r="KV8" s="32"/>
      <c r="KW8" s="32"/>
      <c r="KX8" s="32"/>
    </row>
    <row r="9" spans="1:310" s="40" customFormat="1" ht="30" customHeight="1" x14ac:dyDescent="0.25">
      <c r="A9" s="6" t="s">
        <v>21</v>
      </c>
      <c r="B9" s="41" t="s">
        <v>22</v>
      </c>
      <c r="C9" s="42" t="s">
        <v>23</v>
      </c>
      <c r="D9" s="42" t="s">
        <v>24</v>
      </c>
      <c r="E9" s="43">
        <v>1</v>
      </c>
      <c r="F9" s="44">
        <v>46105</v>
      </c>
      <c r="G9" s="44">
        <v>46105</v>
      </c>
      <c r="H9" s="39"/>
      <c r="I9" s="39">
        <f>IF(OR(ISBLANK(task_start),ISBLANK(task_end)),"",task_end-task_start+1)</f>
        <v>1</v>
      </c>
      <c r="J9" s="45"/>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c r="HT9" s="32"/>
      <c r="HU9" s="32"/>
      <c r="HV9" s="32"/>
      <c r="HW9" s="32"/>
      <c r="HX9" s="32"/>
      <c r="HY9" s="32"/>
      <c r="HZ9" s="32"/>
      <c r="IA9" s="32"/>
      <c r="IB9" s="32"/>
      <c r="IC9" s="32"/>
      <c r="ID9" s="32"/>
      <c r="IE9" s="32"/>
      <c r="IF9" s="32"/>
      <c r="IG9" s="32"/>
      <c r="IH9" s="32"/>
      <c r="II9" s="32"/>
      <c r="IJ9" s="32"/>
      <c r="IK9" s="32"/>
      <c r="IL9" s="32"/>
      <c r="IM9" s="32"/>
      <c r="IN9" s="32"/>
      <c r="IO9" s="32"/>
      <c r="IP9" s="32"/>
      <c r="IQ9" s="32"/>
      <c r="IR9" s="32"/>
      <c r="IS9" s="32"/>
      <c r="IT9" s="32"/>
      <c r="IU9" s="32"/>
      <c r="IV9" s="32"/>
      <c r="IW9" s="32"/>
      <c r="IX9" s="32"/>
      <c r="IY9" s="32"/>
      <c r="IZ9" s="32"/>
      <c r="JA9" s="32"/>
      <c r="JB9" s="32"/>
      <c r="JC9" s="32"/>
      <c r="JD9" s="32"/>
      <c r="JE9" s="32"/>
      <c r="JF9" s="32"/>
      <c r="JG9" s="32"/>
      <c r="JH9" s="32"/>
      <c r="JI9" s="32"/>
      <c r="JJ9" s="32"/>
      <c r="JK9" s="32"/>
      <c r="JL9" s="32"/>
      <c r="JM9" s="32"/>
      <c r="JN9" s="32"/>
      <c r="JO9" s="32"/>
      <c r="JP9" s="32"/>
      <c r="JQ9" s="32"/>
      <c r="JR9" s="32"/>
      <c r="JS9" s="32"/>
      <c r="JT9" s="32"/>
      <c r="JU9" s="32"/>
      <c r="JV9" s="32"/>
      <c r="JW9" s="32"/>
      <c r="JX9" s="32"/>
      <c r="JY9" s="32"/>
      <c r="JZ9" s="32"/>
      <c r="KA9" s="32"/>
      <c r="KB9" s="32"/>
      <c r="KC9" s="32"/>
      <c r="KD9" s="32"/>
      <c r="KE9" s="32"/>
      <c r="KF9" s="32"/>
      <c r="KG9" s="32"/>
      <c r="KH9" s="32"/>
      <c r="KI9" s="32"/>
      <c r="KJ9" s="32"/>
      <c r="KK9" s="32"/>
      <c r="KL9" s="32"/>
      <c r="KM9" s="32"/>
      <c r="KN9" s="32"/>
      <c r="KO9" s="32"/>
      <c r="KP9" s="32"/>
      <c r="KQ9" s="32"/>
      <c r="KR9" s="32"/>
      <c r="KS9" s="32"/>
      <c r="KT9" s="32"/>
      <c r="KU9" s="32"/>
      <c r="KV9" s="32"/>
      <c r="KW9" s="32"/>
      <c r="KX9" s="32"/>
    </row>
    <row r="10" spans="1:310" s="40" customFormat="1" ht="30" customHeight="1" x14ac:dyDescent="0.25">
      <c r="A10" s="6"/>
      <c r="B10" s="41" t="s">
        <v>25</v>
      </c>
      <c r="C10" s="42" t="s">
        <v>26</v>
      </c>
      <c r="D10" s="42" t="s">
        <v>27</v>
      </c>
      <c r="E10" s="43">
        <v>1</v>
      </c>
      <c r="F10" s="44">
        <v>46106</v>
      </c>
      <c r="G10" s="44">
        <v>46106</v>
      </c>
      <c r="H10" s="39"/>
      <c r="I10" s="39"/>
      <c r="J10" s="45"/>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c r="IX10" s="32"/>
      <c r="IY10" s="32"/>
      <c r="IZ10" s="32"/>
      <c r="JA10" s="32"/>
      <c r="JB10" s="32"/>
      <c r="JC10" s="32"/>
      <c r="JD10" s="32"/>
      <c r="JE10" s="32"/>
      <c r="JF10" s="32"/>
      <c r="JG10" s="32"/>
      <c r="JH10" s="32"/>
      <c r="JI10" s="32"/>
      <c r="JJ10" s="32"/>
      <c r="JK10" s="32"/>
      <c r="JL10" s="32"/>
      <c r="JM10" s="32"/>
      <c r="JN10" s="32"/>
      <c r="JO10" s="32"/>
      <c r="JP10" s="32"/>
      <c r="JQ10" s="32"/>
      <c r="JR10" s="32"/>
      <c r="JS10" s="32"/>
      <c r="JT10" s="32"/>
      <c r="JU10" s="32"/>
      <c r="JV10" s="32"/>
      <c r="JW10" s="32"/>
      <c r="JX10" s="32"/>
      <c r="JY10" s="32"/>
      <c r="JZ10" s="32"/>
      <c r="KA10" s="32"/>
      <c r="KB10" s="32"/>
      <c r="KC10" s="32"/>
      <c r="KD10" s="32"/>
      <c r="KE10" s="32"/>
      <c r="KF10" s="32"/>
      <c r="KG10" s="32"/>
      <c r="KH10" s="32"/>
      <c r="KI10" s="32"/>
      <c r="KJ10" s="32"/>
      <c r="KK10" s="32"/>
      <c r="KL10" s="32"/>
      <c r="KM10" s="32"/>
      <c r="KN10" s="32"/>
      <c r="KO10" s="32"/>
      <c r="KP10" s="32"/>
      <c r="KQ10" s="32"/>
      <c r="KR10" s="32"/>
      <c r="KS10" s="32"/>
      <c r="KT10" s="32"/>
      <c r="KU10" s="32"/>
      <c r="KV10" s="32"/>
      <c r="KW10" s="32"/>
      <c r="KX10" s="32"/>
    </row>
    <row r="11" spans="1:310" s="40" customFormat="1" ht="30" customHeight="1" x14ac:dyDescent="0.25">
      <c r="A11" s="6"/>
      <c r="B11" s="41" t="s">
        <v>25</v>
      </c>
      <c r="C11" s="42" t="s">
        <v>28</v>
      </c>
      <c r="D11" s="42" t="s">
        <v>27</v>
      </c>
      <c r="E11" s="43">
        <v>1</v>
      </c>
      <c r="F11" s="44">
        <v>46108</v>
      </c>
      <c r="G11" s="44">
        <v>46108</v>
      </c>
      <c r="H11" s="39"/>
      <c r="I11" s="39"/>
      <c r="J11" s="45"/>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c r="HT11" s="32"/>
      <c r="HU11" s="32"/>
      <c r="HV11" s="32"/>
      <c r="HW11" s="32"/>
      <c r="HX11" s="32"/>
      <c r="HY11" s="32"/>
      <c r="HZ11" s="32"/>
      <c r="IA11" s="32"/>
      <c r="IB11" s="32"/>
      <c r="IC11" s="32"/>
      <c r="ID11" s="32"/>
      <c r="IE11" s="32"/>
      <c r="IF11" s="32"/>
      <c r="IG11" s="32"/>
      <c r="IH11" s="32"/>
      <c r="II11" s="32"/>
      <c r="IJ11" s="32"/>
      <c r="IK11" s="32"/>
      <c r="IL11" s="32"/>
      <c r="IM11" s="32"/>
      <c r="IN11" s="32"/>
      <c r="IO11" s="32"/>
      <c r="IP11" s="32"/>
      <c r="IQ11" s="32"/>
      <c r="IR11" s="32"/>
      <c r="IS11" s="32"/>
      <c r="IT11" s="32"/>
      <c r="IU11" s="32"/>
      <c r="IV11" s="32"/>
      <c r="IW11" s="32"/>
      <c r="IX11" s="32"/>
      <c r="IY11" s="32"/>
      <c r="IZ11" s="32"/>
      <c r="JA11" s="32"/>
      <c r="JB11" s="32"/>
      <c r="JC11" s="32"/>
      <c r="JD11" s="32"/>
      <c r="JE11" s="32"/>
      <c r="JF11" s="32"/>
      <c r="JG11" s="32"/>
      <c r="JH11" s="32"/>
      <c r="JI11" s="32"/>
      <c r="JJ11" s="32"/>
      <c r="JK11" s="32"/>
      <c r="JL11" s="32"/>
      <c r="JM11" s="32"/>
      <c r="JN11" s="32"/>
      <c r="JO11" s="32"/>
      <c r="JP11" s="32"/>
      <c r="JQ11" s="32"/>
      <c r="JR11" s="32"/>
      <c r="JS11" s="32"/>
      <c r="JT11" s="32"/>
      <c r="JU11" s="32"/>
      <c r="JV11" s="32"/>
      <c r="JW11" s="32"/>
      <c r="JX11" s="32"/>
      <c r="JY11" s="32"/>
      <c r="JZ11" s="32"/>
      <c r="KA11" s="32"/>
      <c r="KB11" s="32"/>
      <c r="KC11" s="32"/>
      <c r="KD11" s="32"/>
      <c r="KE11" s="32"/>
      <c r="KF11" s="32"/>
      <c r="KG11" s="32"/>
      <c r="KH11" s="32"/>
      <c r="KI11" s="32"/>
      <c r="KJ11" s="32"/>
      <c r="KK11" s="32"/>
      <c r="KL11" s="32"/>
      <c r="KM11" s="32"/>
      <c r="KN11" s="32"/>
      <c r="KO11" s="32"/>
      <c r="KP11" s="32"/>
      <c r="KQ11" s="32"/>
      <c r="KR11" s="32"/>
      <c r="KS11" s="32"/>
      <c r="KT11" s="32"/>
      <c r="KU11" s="32"/>
      <c r="KV11" s="32"/>
      <c r="KW11" s="32"/>
      <c r="KX11" s="32"/>
    </row>
    <row r="12" spans="1:310" s="40" customFormat="1" ht="30" customHeight="1" x14ac:dyDescent="0.25">
      <c r="A12" s="6"/>
      <c r="B12" s="41" t="s">
        <v>29</v>
      </c>
      <c r="C12" s="42" t="s">
        <v>30</v>
      </c>
      <c r="D12" s="42" t="s">
        <v>27</v>
      </c>
      <c r="E12" s="43">
        <v>1</v>
      </c>
      <c r="F12" s="44">
        <v>46108</v>
      </c>
      <c r="G12" s="44">
        <v>46113</v>
      </c>
      <c r="H12" s="39"/>
      <c r="I12" s="39"/>
      <c r="J12" s="45"/>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c r="HT12" s="32"/>
      <c r="HU12" s="32"/>
      <c r="HV12" s="32"/>
      <c r="HW12" s="32"/>
      <c r="HX12" s="32"/>
      <c r="HY12" s="32"/>
      <c r="HZ12" s="32"/>
      <c r="IA12" s="32"/>
      <c r="IB12" s="32"/>
      <c r="IC12" s="32"/>
      <c r="ID12" s="32"/>
      <c r="IE12" s="32"/>
      <c r="IF12" s="32"/>
      <c r="IG12" s="32"/>
      <c r="IH12" s="32"/>
      <c r="II12" s="32"/>
      <c r="IJ12" s="32"/>
      <c r="IK12" s="32"/>
      <c r="IL12" s="32"/>
      <c r="IM12" s="32"/>
      <c r="IN12" s="32"/>
      <c r="IO12" s="32"/>
      <c r="IP12" s="32"/>
      <c r="IQ12" s="32"/>
      <c r="IR12" s="32"/>
      <c r="IS12" s="32"/>
      <c r="IT12" s="32"/>
      <c r="IU12" s="32"/>
      <c r="IV12" s="32"/>
      <c r="IW12" s="32"/>
      <c r="IX12" s="32"/>
      <c r="IY12" s="32"/>
      <c r="IZ12" s="32"/>
      <c r="JA12" s="32"/>
      <c r="JB12" s="32"/>
      <c r="JC12" s="32"/>
      <c r="JD12" s="32"/>
      <c r="JE12" s="32"/>
      <c r="JF12" s="32"/>
      <c r="JG12" s="32"/>
      <c r="JH12" s="32"/>
      <c r="JI12" s="32"/>
      <c r="JJ12" s="32"/>
      <c r="JK12" s="32"/>
      <c r="JL12" s="32"/>
      <c r="JM12" s="32"/>
      <c r="JN12" s="32"/>
      <c r="JO12" s="32"/>
      <c r="JP12" s="32"/>
      <c r="JQ12" s="32"/>
      <c r="JR12" s="32"/>
      <c r="JS12" s="32"/>
      <c r="JT12" s="32"/>
      <c r="JU12" s="32"/>
      <c r="JV12" s="32"/>
      <c r="JW12" s="32"/>
      <c r="JX12" s="32"/>
      <c r="JY12" s="32"/>
      <c r="JZ12" s="32"/>
      <c r="KA12" s="32"/>
      <c r="KB12" s="32"/>
      <c r="KC12" s="32"/>
      <c r="KD12" s="32"/>
      <c r="KE12" s="32"/>
      <c r="KF12" s="32"/>
      <c r="KG12" s="32"/>
      <c r="KH12" s="32"/>
      <c r="KI12" s="32"/>
      <c r="KJ12" s="32"/>
      <c r="KK12" s="32"/>
      <c r="KL12" s="32"/>
      <c r="KM12" s="32"/>
      <c r="KN12" s="32"/>
      <c r="KO12" s="32"/>
      <c r="KP12" s="32"/>
      <c r="KQ12" s="32"/>
      <c r="KR12" s="32"/>
      <c r="KS12" s="32"/>
      <c r="KT12" s="32"/>
      <c r="KU12" s="32"/>
      <c r="KV12" s="32"/>
      <c r="KW12" s="32"/>
      <c r="KX12" s="32"/>
    </row>
    <row r="13" spans="1:310" s="40" customFormat="1" ht="30" customHeight="1" x14ac:dyDescent="0.25">
      <c r="A13" s="6" t="s">
        <v>31</v>
      </c>
      <c r="B13" s="41" t="s">
        <v>32</v>
      </c>
      <c r="C13" s="42"/>
      <c r="D13" s="42" t="s">
        <v>33</v>
      </c>
      <c r="E13" s="43">
        <v>1</v>
      </c>
      <c r="F13" s="44">
        <v>46102</v>
      </c>
      <c r="G13" s="44">
        <v>46106</v>
      </c>
      <c r="H13" s="39"/>
      <c r="I13" s="39"/>
      <c r="J13" s="45"/>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c r="HT13" s="32"/>
      <c r="HU13" s="32"/>
      <c r="HV13" s="32"/>
      <c r="HW13" s="32"/>
      <c r="HX13" s="32"/>
      <c r="HY13" s="32"/>
      <c r="HZ13" s="32"/>
      <c r="IA13" s="32"/>
      <c r="IB13" s="32"/>
      <c r="IC13" s="32"/>
      <c r="ID13" s="32"/>
      <c r="IE13" s="32"/>
      <c r="IF13" s="32"/>
      <c r="IG13" s="32"/>
      <c r="IH13" s="32"/>
      <c r="II13" s="32"/>
      <c r="IJ13" s="32"/>
      <c r="IK13" s="32"/>
      <c r="IL13" s="32"/>
      <c r="IM13" s="32"/>
      <c r="IN13" s="32"/>
      <c r="IO13" s="32"/>
      <c r="IP13" s="32"/>
      <c r="IQ13" s="32"/>
      <c r="IR13" s="32"/>
      <c r="IS13" s="32"/>
      <c r="IT13" s="32"/>
      <c r="IU13" s="32"/>
      <c r="IV13" s="32"/>
      <c r="IW13" s="32"/>
      <c r="IX13" s="32"/>
      <c r="IY13" s="32"/>
      <c r="IZ13" s="32"/>
      <c r="JA13" s="32"/>
      <c r="JB13" s="32"/>
      <c r="JC13" s="32"/>
      <c r="JD13" s="32"/>
      <c r="JE13" s="32"/>
      <c r="JF13" s="32"/>
      <c r="JG13" s="32"/>
      <c r="JH13" s="32"/>
      <c r="JI13" s="32"/>
      <c r="JJ13" s="32"/>
      <c r="JK13" s="32"/>
      <c r="JL13" s="32"/>
      <c r="JM13" s="32"/>
      <c r="JN13" s="32"/>
      <c r="JO13" s="32"/>
      <c r="JP13" s="32"/>
      <c r="JQ13" s="32"/>
      <c r="JR13" s="32"/>
      <c r="JS13" s="32"/>
      <c r="JT13" s="32"/>
      <c r="JU13" s="32"/>
      <c r="JV13" s="32"/>
      <c r="JW13" s="32"/>
      <c r="JX13" s="32"/>
      <c r="JY13" s="32"/>
      <c r="JZ13" s="32"/>
      <c r="KA13" s="32"/>
      <c r="KB13" s="32"/>
      <c r="KC13" s="32"/>
      <c r="KD13" s="32"/>
      <c r="KE13" s="32"/>
      <c r="KF13" s="32"/>
      <c r="KG13" s="32"/>
      <c r="KH13" s="32"/>
      <c r="KI13" s="32"/>
      <c r="KJ13" s="32"/>
      <c r="KK13" s="32"/>
      <c r="KL13" s="32"/>
      <c r="KM13" s="32"/>
      <c r="KN13" s="32"/>
      <c r="KO13" s="32"/>
      <c r="KP13" s="32"/>
      <c r="KQ13" s="32"/>
      <c r="KR13" s="32"/>
      <c r="KS13" s="32"/>
      <c r="KT13" s="32"/>
      <c r="KU13" s="32"/>
      <c r="KV13" s="32"/>
      <c r="KW13" s="32"/>
      <c r="KX13" s="32"/>
    </row>
    <row r="14" spans="1:310" s="40" customFormat="1" ht="30" customHeight="1" x14ac:dyDescent="0.25">
      <c r="A14" s="6"/>
      <c r="B14" s="41" t="s">
        <v>34</v>
      </c>
      <c r="C14" s="42"/>
      <c r="D14" s="42" t="s">
        <v>35</v>
      </c>
      <c r="E14" s="43">
        <v>1</v>
      </c>
      <c r="F14" s="44">
        <v>46102</v>
      </c>
      <c r="G14" s="44">
        <v>46106</v>
      </c>
      <c r="H14" s="39"/>
      <c r="I14" s="39"/>
      <c r="J14" s="45"/>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c r="HT14" s="32"/>
      <c r="HU14" s="32"/>
      <c r="HV14" s="32"/>
      <c r="HW14" s="32"/>
      <c r="HX14" s="32"/>
      <c r="HY14" s="32"/>
      <c r="HZ14" s="32"/>
      <c r="IA14" s="32"/>
      <c r="IB14" s="32"/>
      <c r="IC14" s="32"/>
      <c r="ID14" s="32"/>
      <c r="IE14" s="32"/>
      <c r="IF14" s="32"/>
      <c r="IG14" s="32"/>
      <c r="IH14" s="32"/>
      <c r="II14" s="32"/>
      <c r="IJ14" s="32"/>
      <c r="IK14" s="32"/>
      <c r="IL14" s="32"/>
      <c r="IM14" s="32"/>
      <c r="IN14" s="32"/>
      <c r="IO14" s="32"/>
      <c r="IP14" s="32"/>
      <c r="IQ14" s="32"/>
      <c r="IR14" s="32"/>
      <c r="IS14" s="32"/>
      <c r="IT14" s="32"/>
      <c r="IU14" s="32"/>
      <c r="IV14" s="32"/>
      <c r="IW14" s="32"/>
      <c r="IX14" s="32"/>
      <c r="IY14" s="32"/>
      <c r="IZ14" s="32"/>
      <c r="JA14" s="32"/>
      <c r="JB14" s="32"/>
      <c r="JC14" s="32"/>
      <c r="JD14" s="32"/>
      <c r="JE14" s="32"/>
      <c r="JF14" s="32"/>
      <c r="JG14" s="32"/>
      <c r="JH14" s="32"/>
      <c r="JI14" s="32"/>
      <c r="JJ14" s="32"/>
      <c r="JK14" s="32"/>
      <c r="JL14" s="32"/>
      <c r="JM14" s="32"/>
      <c r="JN14" s="32"/>
      <c r="JO14" s="32"/>
      <c r="JP14" s="32"/>
      <c r="JQ14" s="32"/>
      <c r="JR14" s="32"/>
      <c r="JS14" s="32"/>
      <c r="JT14" s="32"/>
      <c r="JU14" s="32"/>
      <c r="JV14" s="32"/>
      <c r="JW14" s="32"/>
      <c r="JX14" s="32"/>
      <c r="JY14" s="32"/>
      <c r="JZ14" s="32"/>
      <c r="KA14" s="32"/>
      <c r="KB14" s="32"/>
      <c r="KC14" s="32"/>
      <c r="KD14" s="32"/>
      <c r="KE14" s="32"/>
      <c r="KF14" s="32"/>
      <c r="KG14" s="32"/>
      <c r="KH14" s="32"/>
      <c r="KI14" s="32"/>
      <c r="KJ14" s="32"/>
      <c r="KK14" s="32"/>
      <c r="KL14" s="32"/>
      <c r="KM14" s="32"/>
      <c r="KN14" s="32"/>
      <c r="KO14" s="32"/>
      <c r="KP14" s="32"/>
      <c r="KQ14" s="32"/>
      <c r="KR14" s="32"/>
      <c r="KS14" s="32"/>
      <c r="KT14" s="32"/>
      <c r="KU14" s="32"/>
      <c r="KV14" s="32"/>
      <c r="KW14" s="32"/>
      <c r="KX14" s="32"/>
    </row>
    <row r="15" spans="1:310" s="40" customFormat="1" ht="30" customHeight="1" x14ac:dyDescent="0.25">
      <c r="A15" s="6"/>
      <c r="B15" s="41" t="s">
        <v>36</v>
      </c>
      <c r="C15" s="42"/>
      <c r="D15" s="42" t="s">
        <v>37</v>
      </c>
      <c r="E15" s="43">
        <v>1</v>
      </c>
      <c r="F15" s="44">
        <v>46109</v>
      </c>
      <c r="G15" s="44">
        <v>46115</v>
      </c>
      <c r="H15" s="39"/>
      <c r="I15" s="39"/>
      <c r="J15" s="45"/>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c r="HT15" s="32"/>
      <c r="HU15" s="32"/>
      <c r="HV15" s="32"/>
      <c r="HW15" s="32"/>
      <c r="HX15" s="32"/>
      <c r="HY15" s="32"/>
      <c r="HZ15" s="32"/>
      <c r="IA15" s="32"/>
      <c r="IB15" s="32"/>
      <c r="IC15" s="32"/>
      <c r="ID15" s="32"/>
      <c r="IE15" s="32"/>
      <c r="IF15" s="32"/>
      <c r="IG15" s="32"/>
      <c r="IH15" s="32"/>
      <c r="II15" s="32"/>
      <c r="IJ15" s="32"/>
      <c r="IK15" s="32"/>
      <c r="IL15" s="32"/>
      <c r="IM15" s="32"/>
      <c r="IN15" s="32"/>
      <c r="IO15" s="32"/>
      <c r="IP15" s="32"/>
      <c r="IQ15" s="32"/>
      <c r="IR15" s="32"/>
      <c r="IS15" s="32"/>
      <c r="IT15" s="32"/>
      <c r="IU15" s="32"/>
      <c r="IV15" s="32"/>
      <c r="IW15" s="32"/>
      <c r="IX15" s="32"/>
      <c r="IY15" s="32"/>
      <c r="IZ15" s="32"/>
      <c r="JA15" s="32"/>
      <c r="JB15" s="32"/>
      <c r="JC15" s="32"/>
      <c r="JD15" s="32"/>
      <c r="JE15" s="32"/>
      <c r="JF15" s="32"/>
      <c r="JG15" s="32"/>
      <c r="JH15" s="32"/>
      <c r="JI15" s="32"/>
      <c r="JJ15" s="32"/>
      <c r="JK15" s="32"/>
      <c r="JL15" s="32"/>
      <c r="JM15" s="32"/>
      <c r="JN15" s="32"/>
      <c r="JO15" s="32"/>
      <c r="JP15" s="32"/>
      <c r="JQ15" s="32"/>
      <c r="JR15" s="32"/>
      <c r="JS15" s="32"/>
      <c r="JT15" s="32"/>
      <c r="JU15" s="32"/>
      <c r="JV15" s="32"/>
      <c r="JW15" s="32"/>
      <c r="JX15" s="32"/>
      <c r="JY15" s="32"/>
      <c r="JZ15" s="32"/>
      <c r="KA15" s="32"/>
      <c r="KB15" s="32"/>
      <c r="KC15" s="32"/>
      <c r="KD15" s="32"/>
      <c r="KE15" s="32"/>
      <c r="KF15" s="32"/>
      <c r="KG15" s="32"/>
      <c r="KH15" s="32"/>
      <c r="KI15" s="32"/>
      <c r="KJ15" s="32"/>
      <c r="KK15" s="32"/>
      <c r="KL15" s="32"/>
      <c r="KM15" s="32"/>
      <c r="KN15" s="32"/>
      <c r="KO15" s="32"/>
      <c r="KP15" s="32"/>
      <c r="KQ15" s="32"/>
      <c r="KR15" s="32"/>
      <c r="KS15" s="32"/>
      <c r="KT15" s="32"/>
      <c r="KU15" s="32"/>
      <c r="KV15" s="32"/>
      <c r="KW15" s="32"/>
      <c r="KX15" s="32"/>
    </row>
    <row r="16" spans="1:310" s="40" customFormat="1" ht="30" customHeight="1" x14ac:dyDescent="0.25">
      <c r="A16" s="6"/>
      <c r="B16" s="41" t="s">
        <v>38</v>
      </c>
      <c r="C16" s="42"/>
      <c r="D16" s="42" t="s">
        <v>33</v>
      </c>
      <c r="E16" s="43">
        <v>1</v>
      </c>
      <c r="F16" s="44">
        <v>46108</v>
      </c>
      <c r="G16" s="44">
        <v>46117</v>
      </c>
      <c r="H16" s="39"/>
      <c r="I16" s="39"/>
      <c r="J16" s="45"/>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c r="HT16" s="32"/>
      <c r="HU16" s="32"/>
      <c r="HV16" s="32"/>
      <c r="HW16" s="32"/>
      <c r="HX16" s="32"/>
      <c r="HY16" s="32"/>
      <c r="HZ16" s="32"/>
      <c r="IA16" s="32"/>
      <c r="IB16" s="32"/>
      <c r="IC16" s="32"/>
      <c r="ID16" s="32"/>
      <c r="IE16" s="32"/>
      <c r="IF16" s="32"/>
      <c r="IG16" s="32"/>
      <c r="IH16" s="32"/>
      <c r="II16" s="32"/>
      <c r="IJ16" s="32"/>
      <c r="IK16" s="32"/>
      <c r="IL16" s="32"/>
      <c r="IM16" s="32"/>
      <c r="IN16" s="32"/>
      <c r="IO16" s="32"/>
      <c r="IP16" s="32"/>
      <c r="IQ16" s="32"/>
      <c r="IR16" s="32"/>
      <c r="IS16" s="32"/>
      <c r="IT16" s="32"/>
      <c r="IU16" s="32"/>
      <c r="IV16" s="32"/>
      <c r="IW16" s="32"/>
      <c r="IX16" s="32"/>
      <c r="IY16" s="32"/>
      <c r="IZ16" s="32"/>
      <c r="JA16" s="32"/>
      <c r="JB16" s="32"/>
      <c r="JC16" s="32"/>
      <c r="JD16" s="32"/>
      <c r="JE16" s="32"/>
      <c r="JF16" s="32"/>
      <c r="JG16" s="32"/>
      <c r="JH16" s="32"/>
      <c r="JI16" s="32"/>
      <c r="JJ16" s="32"/>
      <c r="JK16" s="32"/>
      <c r="JL16" s="32"/>
      <c r="JM16" s="32"/>
      <c r="JN16" s="32"/>
      <c r="JO16" s="32"/>
      <c r="JP16" s="32"/>
      <c r="JQ16" s="32"/>
      <c r="JR16" s="32"/>
      <c r="JS16" s="32"/>
      <c r="JT16" s="32"/>
      <c r="JU16" s="32"/>
      <c r="JV16" s="32"/>
      <c r="JW16" s="32"/>
      <c r="JX16" s="32"/>
      <c r="JY16" s="32"/>
      <c r="JZ16" s="32"/>
      <c r="KA16" s="32"/>
      <c r="KB16" s="32"/>
      <c r="KC16" s="32"/>
      <c r="KD16" s="32"/>
      <c r="KE16" s="32"/>
      <c r="KF16" s="32"/>
      <c r="KG16" s="32"/>
      <c r="KH16" s="32"/>
      <c r="KI16" s="32"/>
      <c r="KJ16" s="32"/>
      <c r="KK16" s="32"/>
      <c r="KL16" s="32"/>
      <c r="KM16" s="32"/>
      <c r="KN16" s="32"/>
      <c r="KO16" s="32"/>
      <c r="KP16" s="32"/>
      <c r="KQ16" s="32"/>
      <c r="KR16" s="32"/>
      <c r="KS16" s="32"/>
      <c r="KT16" s="32"/>
      <c r="KU16" s="32"/>
      <c r="KV16" s="32"/>
      <c r="KW16" s="32"/>
      <c r="KX16" s="32"/>
    </row>
    <row r="17" spans="1:310" s="40" customFormat="1" ht="30" customHeight="1" x14ac:dyDescent="0.25">
      <c r="A17" s="6"/>
      <c r="B17" s="41" t="s">
        <v>39</v>
      </c>
      <c r="C17" s="42"/>
      <c r="D17" s="42" t="s">
        <v>33</v>
      </c>
      <c r="E17" s="43">
        <v>1</v>
      </c>
      <c r="F17" s="44">
        <v>46109</v>
      </c>
      <c r="G17" s="44">
        <v>46117</v>
      </c>
      <c r="H17" s="39"/>
      <c r="I17" s="39"/>
      <c r="J17" s="45"/>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c r="HT17" s="32"/>
      <c r="HU17" s="32"/>
      <c r="HV17" s="32"/>
      <c r="HW17" s="32"/>
      <c r="HX17" s="32"/>
      <c r="HY17" s="32"/>
      <c r="HZ17" s="32"/>
      <c r="IA17" s="32"/>
      <c r="IB17" s="32"/>
      <c r="IC17" s="32"/>
      <c r="ID17" s="32"/>
      <c r="IE17" s="32"/>
      <c r="IF17" s="32"/>
      <c r="IG17" s="32"/>
      <c r="IH17" s="32"/>
      <c r="II17" s="32"/>
      <c r="IJ17" s="32"/>
      <c r="IK17" s="32"/>
      <c r="IL17" s="32"/>
      <c r="IM17" s="32"/>
      <c r="IN17" s="32"/>
      <c r="IO17" s="32"/>
      <c r="IP17" s="32"/>
      <c r="IQ17" s="32"/>
      <c r="IR17" s="32"/>
      <c r="IS17" s="32"/>
      <c r="IT17" s="32"/>
      <c r="IU17" s="32"/>
      <c r="IV17" s="32"/>
      <c r="IW17" s="32"/>
      <c r="IX17" s="32"/>
      <c r="IY17" s="32"/>
      <c r="IZ17" s="32"/>
      <c r="JA17" s="32"/>
      <c r="JB17" s="32"/>
      <c r="JC17" s="32"/>
      <c r="JD17" s="32"/>
      <c r="JE17" s="32"/>
      <c r="JF17" s="32"/>
      <c r="JG17" s="32"/>
      <c r="JH17" s="32"/>
      <c r="JI17" s="32"/>
      <c r="JJ17" s="32"/>
      <c r="JK17" s="32"/>
      <c r="JL17" s="32"/>
      <c r="JM17" s="32"/>
      <c r="JN17" s="32"/>
      <c r="JO17" s="32"/>
      <c r="JP17" s="32"/>
      <c r="JQ17" s="32"/>
      <c r="JR17" s="32"/>
      <c r="JS17" s="32"/>
      <c r="JT17" s="32"/>
      <c r="JU17" s="32"/>
      <c r="JV17" s="32"/>
      <c r="JW17" s="32"/>
      <c r="JX17" s="32"/>
      <c r="JY17" s="32"/>
      <c r="JZ17" s="32"/>
      <c r="KA17" s="32"/>
      <c r="KB17" s="32"/>
      <c r="KC17" s="32"/>
      <c r="KD17" s="32"/>
      <c r="KE17" s="32"/>
      <c r="KF17" s="32"/>
      <c r="KG17" s="32"/>
      <c r="KH17" s="32"/>
      <c r="KI17" s="32"/>
      <c r="KJ17" s="32"/>
      <c r="KK17" s="32"/>
      <c r="KL17" s="32"/>
      <c r="KM17" s="32"/>
      <c r="KN17" s="32"/>
      <c r="KO17" s="32"/>
      <c r="KP17" s="32"/>
      <c r="KQ17" s="32"/>
      <c r="KR17" s="32"/>
      <c r="KS17" s="32"/>
      <c r="KT17" s="32"/>
      <c r="KU17" s="32"/>
      <c r="KV17" s="32"/>
      <c r="KW17" s="32"/>
      <c r="KX17" s="32"/>
    </row>
    <row r="18" spans="1:310" s="40" customFormat="1" ht="30" customHeight="1" x14ac:dyDescent="0.25">
      <c r="A18" s="6"/>
      <c r="B18" s="41" t="s">
        <v>40</v>
      </c>
      <c r="C18" s="42"/>
      <c r="D18" s="42" t="s">
        <v>37</v>
      </c>
      <c r="E18" s="43">
        <v>1</v>
      </c>
      <c r="F18" s="44">
        <v>46107</v>
      </c>
      <c r="G18" s="44">
        <v>46113</v>
      </c>
      <c r="H18" s="39"/>
      <c r="I18" s="39"/>
      <c r="J18" s="45"/>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c r="HE18" s="32"/>
      <c r="HF18" s="32"/>
      <c r="HG18" s="32"/>
      <c r="HH18" s="32"/>
      <c r="HI18" s="32"/>
      <c r="HJ18" s="32"/>
      <c r="HK18" s="32"/>
      <c r="HL18" s="32"/>
      <c r="HM18" s="32"/>
      <c r="HN18" s="32"/>
      <c r="HO18" s="32"/>
      <c r="HP18" s="32"/>
      <c r="HQ18" s="32"/>
      <c r="HR18" s="32"/>
      <c r="HS18" s="32"/>
      <c r="HT18" s="32"/>
      <c r="HU18" s="32"/>
      <c r="HV18" s="32"/>
      <c r="HW18" s="32"/>
      <c r="HX18" s="32"/>
      <c r="HY18" s="32"/>
      <c r="HZ18" s="32"/>
      <c r="IA18" s="32"/>
      <c r="IB18" s="32"/>
      <c r="IC18" s="32"/>
      <c r="ID18" s="32"/>
      <c r="IE18" s="32"/>
      <c r="IF18" s="32"/>
      <c r="IG18" s="32"/>
      <c r="IH18" s="32"/>
      <c r="II18" s="32"/>
      <c r="IJ18" s="32"/>
      <c r="IK18" s="32"/>
      <c r="IL18" s="32"/>
      <c r="IM18" s="32"/>
      <c r="IN18" s="32"/>
      <c r="IO18" s="32"/>
      <c r="IP18" s="32"/>
      <c r="IQ18" s="32"/>
      <c r="IR18" s="32"/>
      <c r="IS18" s="32"/>
      <c r="IT18" s="32"/>
      <c r="IU18" s="32"/>
      <c r="IV18" s="32"/>
      <c r="IW18" s="32"/>
      <c r="IX18" s="32"/>
      <c r="IY18" s="32"/>
      <c r="IZ18" s="32"/>
      <c r="JA18" s="32"/>
      <c r="JB18" s="32"/>
      <c r="JC18" s="32"/>
      <c r="JD18" s="32"/>
      <c r="JE18" s="32"/>
      <c r="JF18" s="32"/>
      <c r="JG18" s="32"/>
      <c r="JH18" s="32"/>
      <c r="JI18" s="32"/>
      <c r="JJ18" s="32"/>
      <c r="JK18" s="32"/>
      <c r="JL18" s="32"/>
      <c r="JM18" s="32"/>
      <c r="JN18" s="32"/>
      <c r="JO18" s="32"/>
      <c r="JP18" s="32"/>
      <c r="JQ18" s="32"/>
      <c r="JR18" s="32"/>
      <c r="JS18" s="32"/>
      <c r="JT18" s="32"/>
      <c r="JU18" s="32"/>
      <c r="JV18" s="32"/>
      <c r="JW18" s="32"/>
      <c r="JX18" s="32"/>
      <c r="JY18" s="32"/>
      <c r="JZ18" s="32"/>
      <c r="KA18" s="32"/>
      <c r="KB18" s="32"/>
      <c r="KC18" s="32"/>
      <c r="KD18" s="32"/>
      <c r="KE18" s="32"/>
      <c r="KF18" s="32"/>
      <c r="KG18" s="32"/>
      <c r="KH18" s="32"/>
      <c r="KI18" s="32"/>
      <c r="KJ18" s="32"/>
      <c r="KK18" s="32"/>
      <c r="KL18" s="32"/>
      <c r="KM18" s="32"/>
      <c r="KN18" s="32"/>
      <c r="KO18" s="32"/>
      <c r="KP18" s="32"/>
      <c r="KQ18" s="32"/>
      <c r="KR18" s="32"/>
      <c r="KS18" s="32"/>
      <c r="KT18" s="32"/>
      <c r="KU18" s="32"/>
      <c r="KV18" s="32"/>
      <c r="KW18" s="32"/>
      <c r="KX18" s="32"/>
    </row>
    <row r="19" spans="1:310" s="40" customFormat="1" ht="30" customHeight="1" x14ac:dyDescent="0.25">
      <c r="A19" s="6"/>
      <c r="B19" s="41" t="s">
        <v>41</v>
      </c>
      <c r="C19" s="42"/>
      <c r="D19" s="42" t="s">
        <v>27</v>
      </c>
      <c r="E19" s="43">
        <v>1</v>
      </c>
      <c r="F19" s="44">
        <v>46103</v>
      </c>
      <c r="G19" s="44">
        <v>46104</v>
      </c>
      <c r="H19" s="39"/>
      <c r="I19" s="39"/>
      <c r="J19" s="45"/>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c r="HE19" s="32"/>
      <c r="HF19" s="32"/>
      <c r="HG19" s="32"/>
      <c r="HH19" s="32"/>
      <c r="HI19" s="32"/>
      <c r="HJ19" s="32"/>
      <c r="HK19" s="32"/>
      <c r="HL19" s="32"/>
      <c r="HM19" s="32"/>
      <c r="HN19" s="32"/>
      <c r="HO19" s="32"/>
      <c r="HP19" s="32"/>
      <c r="HQ19" s="32"/>
      <c r="HR19" s="32"/>
      <c r="HS19" s="32"/>
      <c r="HT19" s="32"/>
      <c r="HU19" s="32"/>
      <c r="HV19" s="32"/>
      <c r="HW19" s="32"/>
      <c r="HX19" s="32"/>
      <c r="HY19" s="32"/>
      <c r="HZ19" s="32"/>
      <c r="IA19" s="32"/>
      <c r="IB19" s="32"/>
      <c r="IC19" s="32"/>
      <c r="ID19" s="32"/>
      <c r="IE19" s="32"/>
      <c r="IF19" s="32"/>
      <c r="IG19" s="32"/>
      <c r="IH19" s="32"/>
      <c r="II19" s="32"/>
      <c r="IJ19" s="32"/>
      <c r="IK19" s="32"/>
      <c r="IL19" s="32"/>
      <c r="IM19" s="32"/>
      <c r="IN19" s="32"/>
      <c r="IO19" s="32"/>
      <c r="IP19" s="32"/>
      <c r="IQ19" s="32"/>
      <c r="IR19" s="32"/>
      <c r="IS19" s="32"/>
      <c r="IT19" s="32"/>
      <c r="IU19" s="32"/>
      <c r="IV19" s="32"/>
      <c r="IW19" s="32"/>
      <c r="IX19" s="32"/>
      <c r="IY19" s="32"/>
      <c r="IZ19" s="32"/>
      <c r="JA19" s="32"/>
      <c r="JB19" s="32"/>
      <c r="JC19" s="32"/>
      <c r="JD19" s="32"/>
      <c r="JE19" s="32"/>
      <c r="JF19" s="32"/>
      <c r="JG19" s="32"/>
      <c r="JH19" s="32"/>
      <c r="JI19" s="32"/>
      <c r="JJ19" s="32"/>
      <c r="JK19" s="32"/>
      <c r="JL19" s="32"/>
      <c r="JM19" s="32"/>
      <c r="JN19" s="32"/>
      <c r="JO19" s="32"/>
      <c r="JP19" s="32"/>
      <c r="JQ19" s="32"/>
      <c r="JR19" s="32"/>
      <c r="JS19" s="32"/>
      <c r="JT19" s="32"/>
      <c r="JU19" s="32"/>
      <c r="JV19" s="32"/>
      <c r="JW19" s="32"/>
      <c r="JX19" s="32"/>
      <c r="JY19" s="32"/>
      <c r="JZ19" s="32"/>
      <c r="KA19" s="32"/>
      <c r="KB19" s="32"/>
      <c r="KC19" s="32"/>
      <c r="KD19" s="32"/>
      <c r="KE19" s="32"/>
      <c r="KF19" s="32"/>
      <c r="KG19" s="32"/>
      <c r="KH19" s="32"/>
      <c r="KI19" s="32"/>
      <c r="KJ19" s="32"/>
      <c r="KK19" s="32"/>
      <c r="KL19" s="32"/>
      <c r="KM19" s="32"/>
      <c r="KN19" s="32"/>
      <c r="KO19" s="32"/>
      <c r="KP19" s="32"/>
      <c r="KQ19" s="32"/>
      <c r="KR19" s="32"/>
      <c r="KS19" s="32"/>
      <c r="KT19" s="32"/>
      <c r="KU19" s="32"/>
      <c r="KV19" s="32"/>
      <c r="KW19" s="32"/>
      <c r="KX19" s="32"/>
    </row>
    <row r="20" spans="1:310" s="40" customFormat="1" ht="30" customHeight="1" x14ac:dyDescent="0.25">
      <c r="A20" s="6"/>
      <c r="B20" s="41" t="s">
        <v>42</v>
      </c>
      <c r="C20" s="42"/>
      <c r="D20" s="42" t="s">
        <v>35</v>
      </c>
      <c r="E20" s="43">
        <v>1</v>
      </c>
      <c r="F20" s="44">
        <v>46112</v>
      </c>
      <c r="G20" s="44">
        <v>46117</v>
      </c>
      <c r="H20" s="39"/>
      <c r="I20" s="39"/>
      <c r="J20" s="45"/>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c r="GT20" s="32"/>
      <c r="GU20" s="32"/>
      <c r="GV20" s="32"/>
      <c r="GW20" s="32"/>
      <c r="GX20" s="32"/>
      <c r="GY20" s="32"/>
      <c r="GZ20" s="32"/>
      <c r="HA20" s="32"/>
      <c r="HB20" s="32"/>
      <c r="HC20" s="32"/>
      <c r="HD20" s="32"/>
      <c r="HE20" s="32"/>
      <c r="HF20" s="32"/>
      <c r="HG20" s="32"/>
      <c r="HH20" s="32"/>
      <c r="HI20" s="32"/>
      <c r="HJ20" s="32"/>
      <c r="HK20" s="32"/>
      <c r="HL20" s="32"/>
      <c r="HM20" s="32"/>
      <c r="HN20" s="32"/>
      <c r="HO20" s="32"/>
      <c r="HP20" s="32"/>
      <c r="HQ20" s="32"/>
      <c r="HR20" s="32"/>
      <c r="HS20" s="32"/>
      <c r="HT20" s="32"/>
      <c r="HU20" s="32"/>
      <c r="HV20" s="32"/>
      <c r="HW20" s="32"/>
      <c r="HX20" s="32"/>
      <c r="HY20" s="32"/>
      <c r="HZ20" s="32"/>
      <c r="IA20" s="32"/>
      <c r="IB20" s="32"/>
      <c r="IC20" s="32"/>
      <c r="ID20" s="32"/>
      <c r="IE20" s="32"/>
      <c r="IF20" s="32"/>
      <c r="IG20" s="32"/>
      <c r="IH20" s="32"/>
      <c r="II20" s="32"/>
      <c r="IJ20" s="32"/>
      <c r="IK20" s="32"/>
      <c r="IL20" s="32"/>
      <c r="IM20" s="32"/>
      <c r="IN20" s="32"/>
      <c r="IO20" s="32"/>
      <c r="IP20" s="32"/>
      <c r="IQ20" s="32"/>
      <c r="IR20" s="32"/>
      <c r="IS20" s="32"/>
      <c r="IT20" s="32"/>
      <c r="IU20" s="32"/>
      <c r="IV20" s="32"/>
      <c r="IW20" s="32"/>
      <c r="IX20" s="32"/>
      <c r="IY20" s="32"/>
      <c r="IZ20" s="32"/>
      <c r="JA20" s="32"/>
      <c r="JB20" s="32"/>
      <c r="JC20" s="32"/>
      <c r="JD20" s="32"/>
      <c r="JE20" s="32"/>
      <c r="JF20" s="32"/>
      <c r="JG20" s="32"/>
      <c r="JH20" s="32"/>
      <c r="JI20" s="32"/>
      <c r="JJ20" s="32"/>
      <c r="JK20" s="32"/>
      <c r="JL20" s="32"/>
      <c r="JM20" s="32"/>
      <c r="JN20" s="32"/>
      <c r="JO20" s="32"/>
      <c r="JP20" s="32"/>
      <c r="JQ20" s="32"/>
      <c r="JR20" s="32"/>
      <c r="JS20" s="32"/>
      <c r="JT20" s="32"/>
      <c r="JU20" s="32"/>
      <c r="JV20" s="32"/>
      <c r="JW20" s="32"/>
      <c r="JX20" s="32"/>
      <c r="JY20" s="32"/>
      <c r="JZ20" s="32"/>
      <c r="KA20" s="32"/>
      <c r="KB20" s="32"/>
      <c r="KC20" s="32"/>
      <c r="KD20" s="32"/>
      <c r="KE20" s="32"/>
      <c r="KF20" s="32"/>
      <c r="KG20" s="32"/>
      <c r="KH20" s="32"/>
      <c r="KI20" s="32"/>
      <c r="KJ20" s="32"/>
      <c r="KK20" s="32"/>
      <c r="KL20" s="32"/>
      <c r="KM20" s="32"/>
      <c r="KN20" s="32"/>
      <c r="KO20" s="32"/>
      <c r="KP20" s="32"/>
      <c r="KQ20" s="32"/>
      <c r="KR20" s="32"/>
      <c r="KS20" s="32"/>
      <c r="KT20" s="32"/>
      <c r="KU20" s="32"/>
      <c r="KV20" s="32"/>
      <c r="KW20" s="32"/>
      <c r="KX20" s="32"/>
    </row>
    <row r="21" spans="1:310" s="40" customFormat="1" ht="30" customHeight="1" x14ac:dyDescent="0.25">
      <c r="A21" s="6"/>
      <c r="B21" s="41" t="s">
        <v>43</v>
      </c>
      <c r="C21" s="46"/>
      <c r="D21" s="42" t="s">
        <v>44</v>
      </c>
      <c r="E21" s="43">
        <v>1</v>
      </c>
      <c r="F21" s="44">
        <v>46105</v>
      </c>
      <c r="G21" s="44">
        <v>46105</v>
      </c>
      <c r="H21" s="39"/>
      <c r="I21" s="39"/>
      <c r="J21" s="45"/>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c r="GT21" s="32"/>
      <c r="GU21" s="32"/>
      <c r="GV21" s="32"/>
      <c r="GW21" s="32"/>
      <c r="GX21" s="32"/>
      <c r="GY21" s="32"/>
      <c r="GZ21" s="32"/>
      <c r="HA21" s="32"/>
      <c r="HB21" s="32"/>
      <c r="HC21" s="32"/>
      <c r="HD21" s="32"/>
      <c r="HE21" s="32"/>
      <c r="HF21" s="32"/>
      <c r="HG21" s="32"/>
      <c r="HH21" s="32"/>
      <c r="HI21" s="32"/>
      <c r="HJ21" s="32"/>
      <c r="HK21" s="32"/>
      <c r="HL21" s="32"/>
      <c r="HM21" s="32"/>
      <c r="HN21" s="32"/>
      <c r="HO21" s="32"/>
      <c r="HP21" s="32"/>
      <c r="HQ21" s="32"/>
      <c r="HR21" s="32"/>
      <c r="HS21" s="32"/>
      <c r="HT21" s="32"/>
      <c r="HU21" s="32"/>
      <c r="HV21" s="32"/>
      <c r="HW21" s="32"/>
      <c r="HX21" s="32"/>
      <c r="HY21" s="32"/>
      <c r="HZ21" s="32"/>
      <c r="IA21" s="32"/>
      <c r="IB21" s="32"/>
      <c r="IC21" s="32"/>
      <c r="ID21" s="32"/>
      <c r="IE21" s="32"/>
      <c r="IF21" s="32"/>
      <c r="IG21" s="32"/>
      <c r="IH21" s="32"/>
      <c r="II21" s="32"/>
      <c r="IJ21" s="32"/>
      <c r="IK21" s="32"/>
      <c r="IL21" s="32"/>
      <c r="IM21" s="32"/>
      <c r="IN21" s="32"/>
      <c r="IO21" s="32"/>
      <c r="IP21" s="32"/>
      <c r="IQ21" s="32"/>
      <c r="IR21" s="32"/>
      <c r="IS21" s="32"/>
      <c r="IT21" s="32"/>
      <c r="IU21" s="32"/>
      <c r="IV21" s="32"/>
      <c r="IW21" s="32"/>
      <c r="IX21" s="32"/>
      <c r="IY21" s="32"/>
      <c r="IZ21" s="32"/>
      <c r="JA21" s="32"/>
      <c r="JB21" s="32"/>
      <c r="JC21" s="32"/>
      <c r="JD21" s="32"/>
      <c r="JE21" s="32"/>
      <c r="JF21" s="32"/>
      <c r="JG21" s="32"/>
      <c r="JH21" s="32"/>
      <c r="JI21" s="32"/>
      <c r="JJ21" s="32"/>
      <c r="JK21" s="32"/>
      <c r="JL21" s="32"/>
      <c r="JM21" s="32"/>
      <c r="JN21" s="32"/>
      <c r="JO21" s="32"/>
      <c r="JP21" s="32"/>
      <c r="JQ21" s="32"/>
      <c r="JR21" s="32"/>
      <c r="JS21" s="32"/>
      <c r="JT21" s="32"/>
      <c r="JU21" s="32"/>
      <c r="JV21" s="32"/>
      <c r="JW21" s="32"/>
      <c r="JX21" s="32"/>
      <c r="JY21" s="32"/>
      <c r="JZ21" s="32"/>
      <c r="KA21" s="32"/>
      <c r="KB21" s="32"/>
      <c r="KC21" s="32"/>
      <c r="KD21" s="32"/>
      <c r="KE21" s="32"/>
      <c r="KF21" s="32"/>
      <c r="KG21" s="32"/>
      <c r="KH21" s="32"/>
      <c r="KI21" s="32"/>
      <c r="KJ21" s="32"/>
      <c r="KK21" s="32"/>
      <c r="KL21" s="32"/>
      <c r="KM21" s="32"/>
      <c r="KN21" s="32"/>
      <c r="KO21" s="32"/>
      <c r="KP21" s="32"/>
      <c r="KQ21" s="32"/>
      <c r="KR21" s="32"/>
      <c r="KS21" s="32"/>
      <c r="KT21" s="32"/>
      <c r="KU21" s="32"/>
      <c r="KV21" s="32"/>
      <c r="KW21" s="32"/>
      <c r="KX21" s="32"/>
    </row>
    <row r="22" spans="1:310" s="40" customFormat="1" ht="30" customHeight="1" x14ac:dyDescent="0.25">
      <c r="A22" s="6"/>
      <c r="B22" s="41" t="s">
        <v>45</v>
      </c>
      <c r="C22" s="42"/>
      <c r="D22" s="42" t="s">
        <v>37</v>
      </c>
      <c r="E22" s="43">
        <v>1</v>
      </c>
      <c r="F22" s="44">
        <v>46106</v>
      </c>
      <c r="G22" s="44">
        <v>46106</v>
      </c>
      <c r="H22" s="39"/>
      <c r="I22" s="39"/>
      <c r="J22" s="45"/>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c r="GT22" s="32"/>
      <c r="GU22" s="32"/>
      <c r="GV22" s="32"/>
      <c r="GW22" s="32"/>
      <c r="GX22" s="32"/>
      <c r="GY22" s="32"/>
      <c r="GZ22" s="32"/>
      <c r="HA22" s="32"/>
      <c r="HB22" s="32"/>
      <c r="HC22" s="32"/>
      <c r="HD22" s="32"/>
      <c r="HE22" s="32"/>
      <c r="HF22" s="32"/>
      <c r="HG22" s="32"/>
      <c r="HH22" s="32"/>
      <c r="HI22" s="32"/>
      <c r="HJ22" s="32"/>
      <c r="HK22" s="32"/>
      <c r="HL22" s="32"/>
      <c r="HM22" s="32"/>
      <c r="HN22" s="32"/>
      <c r="HO22" s="32"/>
      <c r="HP22" s="32"/>
      <c r="HQ22" s="32"/>
      <c r="HR22" s="32"/>
      <c r="HS22" s="32"/>
      <c r="HT22" s="32"/>
      <c r="HU22" s="32"/>
      <c r="HV22" s="32"/>
      <c r="HW22" s="32"/>
      <c r="HX22" s="32"/>
      <c r="HY22" s="32"/>
      <c r="HZ22" s="32"/>
      <c r="IA22" s="32"/>
      <c r="IB22" s="32"/>
      <c r="IC22" s="32"/>
      <c r="ID22" s="32"/>
      <c r="IE22" s="32"/>
      <c r="IF22" s="32"/>
      <c r="IG22" s="32"/>
      <c r="IH22" s="32"/>
      <c r="II22" s="32"/>
      <c r="IJ22" s="32"/>
      <c r="IK22" s="32"/>
      <c r="IL22" s="32"/>
      <c r="IM22" s="32"/>
      <c r="IN22" s="32"/>
      <c r="IO22" s="32"/>
      <c r="IP22" s="32"/>
      <c r="IQ22" s="32"/>
      <c r="IR22" s="32"/>
      <c r="IS22" s="32"/>
      <c r="IT22" s="32"/>
      <c r="IU22" s="32"/>
      <c r="IV22" s="32"/>
      <c r="IW22" s="32"/>
      <c r="IX22" s="32"/>
      <c r="IY22" s="32"/>
      <c r="IZ22" s="32"/>
      <c r="JA22" s="32"/>
      <c r="JB22" s="32"/>
      <c r="JC22" s="32"/>
      <c r="JD22" s="32"/>
      <c r="JE22" s="32"/>
      <c r="JF22" s="32"/>
      <c r="JG22" s="32"/>
      <c r="JH22" s="32"/>
      <c r="JI22" s="32"/>
      <c r="JJ22" s="32"/>
      <c r="JK22" s="32"/>
      <c r="JL22" s="32"/>
      <c r="JM22" s="32"/>
      <c r="JN22" s="32"/>
      <c r="JO22" s="32"/>
      <c r="JP22" s="32"/>
      <c r="JQ22" s="32"/>
      <c r="JR22" s="32"/>
      <c r="JS22" s="32"/>
      <c r="JT22" s="32"/>
      <c r="JU22" s="32"/>
      <c r="JV22" s="32"/>
      <c r="JW22" s="32"/>
      <c r="JX22" s="32"/>
      <c r="JY22" s="32"/>
      <c r="JZ22" s="32"/>
      <c r="KA22" s="32"/>
      <c r="KB22" s="32"/>
      <c r="KC22" s="32"/>
      <c r="KD22" s="32"/>
      <c r="KE22" s="32"/>
      <c r="KF22" s="32"/>
      <c r="KG22" s="32"/>
      <c r="KH22" s="32"/>
      <c r="KI22" s="32"/>
      <c r="KJ22" s="32"/>
      <c r="KK22" s="32"/>
      <c r="KL22" s="32"/>
      <c r="KM22" s="32"/>
      <c r="KN22" s="32"/>
      <c r="KO22" s="32"/>
      <c r="KP22" s="32"/>
      <c r="KQ22" s="32"/>
      <c r="KR22" s="32"/>
      <c r="KS22" s="32"/>
      <c r="KT22" s="32"/>
      <c r="KU22" s="32"/>
      <c r="KV22" s="32"/>
      <c r="KW22" s="32"/>
      <c r="KX22" s="32"/>
    </row>
    <row r="23" spans="1:310" s="40" customFormat="1" ht="30" customHeight="1" x14ac:dyDescent="0.25">
      <c r="A23" s="6"/>
      <c r="B23" s="41" t="s">
        <v>46</v>
      </c>
      <c r="C23" s="42"/>
      <c r="D23" s="42" t="s">
        <v>33</v>
      </c>
      <c r="E23" s="43">
        <v>1</v>
      </c>
      <c r="F23" s="44">
        <v>46111</v>
      </c>
      <c r="G23" s="44">
        <v>46113</v>
      </c>
      <c r="H23" s="39"/>
      <c r="I23" s="39"/>
      <c r="J23" s="45"/>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c r="GT23" s="32"/>
      <c r="GU23" s="32"/>
      <c r="GV23" s="32"/>
      <c r="GW23" s="32"/>
      <c r="GX23" s="32"/>
      <c r="GY23" s="32"/>
      <c r="GZ23" s="32"/>
      <c r="HA23" s="32"/>
      <c r="HB23" s="32"/>
      <c r="HC23" s="32"/>
      <c r="HD23" s="32"/>
      <c r="HE23" s="32"/>
      <c r="HF23" s="32"/>
      <c r="HG23" s="32"/>
      <c r="HH23" s="32"/>
      <c r="HI23" s="32"/>
      <c r="HJ23" s="32"/>
      <c r="HK23" s="32"/>
      <c r="HL23" s="32"/>
      <c r="HM23" s="32"/>
      <c r="HN23" s="32"/>
      <c r="HO23" s="32"/>
      <c r="HP23" s="32"/>
      <c r="HQ23" s="32"/>
      <c r="HR23" s="32"/>
      <c r="HS23" s="32"/>
      <c r="HT23" s="32"/>
      <c r="HU23" s="32"/>
      <c r="HV23" s="32"/>
      <c r="HW23" s="32"/>
      <c r="HX23" s="32"/>
      <c r="HY23" s="32"/>
      <c r="HZ23" s="32"/>
      <c r="IA23" s="32"/>
      <c r="IB23" s="32"/>
      <c r="IC23" s="32"/>
      <c r="ID23" s="32"/>
      <c r="IE23" s="32"/>
      <c r="IF23" s="32"/>
      <c r="IG23" s="32"/>
      <c r="IH23" s="32"/>
      <c r="II23" s="32"/>
      <c r="IJ23" s="32"/>
      <c r="IK23" s="32"/>
      <c r="IL23" s="32"/>
      <c r="IM23" s="32"/>
      <c r="IN23" s="32"/>
      <c r="IO23" s="32"/>
      <c r="IP23" s="32"/>
      <c r="IQ23" s="32"/>
      <c r="IR23" s="32"/>
      <c r="IS23" s="32"/>
      <c r="IT23" s="32"/>
      <c r="IU23" s="32"/>
      <c r="IV23" s="32"/>
      <c r="IW23" s="32"/>
      <c r="IX23" s="32"/>
      <c r="IY23" s="32"/>
      <c r="IZ23" s="32"/>
      <c r="JA23" s="32"/>
      <c r="JB23" s="32"/>
      <c r="JC23" s="32"/>
      <c r="JD23" s="32"/>
      <c r="JE23" s="32"/>
      <c r="JF23" s="32"/>
      <c r="JG23" s="32"/>
      <c r="JH23" s="32"/>
      <c r="JI23" s="32"/>
      <c r="JJ23" s="32"/>
      <c r="JK23" s="32"/>
      <c r="JL23" s="32"/>
      <c r="JM23" s="32"/>
      <c r="JN23" s="32"/>
      <c r="JO23" s="32"/>
      <c r="JP23" s="32"/>
      <c r="JQ23" s="32"/>
      <c r="JR23" s="32"/>
      <c r="JS23" s="32"/>
      <c r="JT23" s="32"/>
      <c r="JU23" s="32"/>
      <c r="JV23" s="32"/>
      <c r="JW23" s="32"/>
      <c r="JX23" s="32"/>
      <c r="JY23" s="32"/>
      <c r="JZ23" s="32"/>
      <c r="KA23" s="32"/>
      <c r="KB23" s="32"/>
      <c r="KC23" s="32"/>
      <c r="KD23" s="32"/>
      <c r="KE23" s="32"/>
      <c r="KF23" s="32"/>
      <c r="KG23" s="32"/>
      <c r="KH23" s="32"/>
      <c r="KI23" s="32"/>
      <c r="KJ23" s="32"/>
      <c r="KK23" s="32"/>
      <c r="KL23" s="32"/>
      <c r="KM23" s="32"/>
      <c r="KN23" s="32"/>
      <c r="KO23" s="32"/>
      <c r="KP23" s="32"/>
      <c r="KQ23" s="32"/>
      <c r="KR23" s="32"/>
      <c r="KS23" s="32"/>
      <c r="KT23" s="32"/>
      <c r="KU23" s="32"/>
      <c r="KV23" s="32"/>
      <c r="KW23" s="32"/>
      <c r="KX23" s="32"/>
    </row>
    <row r="24" spans="1:310" s="40" customFormat="1" ht="30" customHeight="1" x14ac:dyDescent="0.25">
      <c r="A24" s="6" t="s">
        <v>47</v>
      </c>
      <c r="B24" s="41" t="s">
        <v>48</v>
      </c>
      <c r="C24" s="46" t="s">
        <v>49</v>
      </c>
      <c r="D24" s="46" t="s">
        <v>27</v>
      </c>
      <c r="E24" s="43">
        <v>1</v>
      </c>
      <c r="F24" s="44">
        <v>46112</v>
      </c>
      <c r="G24" s="44">
        <v>46091</v>
      </c>
      <c r="H24" s="39"/>
      <c r="I24" s="39">
        <f>IF(OR(ISBLANK(task_start),ISBLANK(task_end)),"",task_end-task_start+1)</f>
        <v>-20</v>
      </c>
      <c r="J24" s="32"/>
      <c r="K24" s="32"/>
      <c r="L24" s="32"/>
      <c r="M24" s="32"/>
      <c r="N24" s="32"/>
      <c r="O24" s="32"/>
      <c r="P24" s="32"/>
      <c r="Q24" s="32"/>
      <c r="R24" s="32"/>
      <c r="S24" s="32"/>
      <c r="T24" s="32"/>
      <c r="U24" s="32"/>
      <c r="V24" s="47"/>
      <c r="W24" s="47"/>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32"/>
      <c r="GR24" s="32"/>
      <c r="GS24" s="32"/>
      <c r="GT24" s="32"/>
      <c r="GU24" s="32"/>
      <c r="GV24" s="32"/>
      <c r="GW24" s="32"/>
      <c r="GX24" s="32"/>
      <c r="GY24" s="32"/>
      <c r="GZ24" s="32"/>
      <c r="HA24" s="32"/>
      <c r="HB24" s="32"/>
      <c r="HC24" s="32"/>
      <c r="HD24" s="32"/>
      <c r="HE24" s="32"/>
      <c r="HF24" s="32"/>
      <c r="HG24" s="32"/>
      <c r="HH24" s="32"/>
      <c r="HI24" s="32"/>
      <c r="HJ24" s="32"/>
      <c r="HK24" s="32"/>
      <c r="HL24" s="32"/>
      <c r="HM24" s="32"/>
      <c r="HN24" s="32"/>
      <c r="HO24" s="32"/>
      <c r="HP24" s="32"/>
      <c r="HQ24" s="32"/>
      <c r="HR24" s="32"/>
      <c r="HS24" s="32"/>
      <c r="HT24" s="32"/>
      <c r="HU24" s="32"/>
      <c r="HV24" s="32"/>
      <c r="HW24" s="32"/>
      <c r="HX24" s="32"/>
      <c r="HY24" s="32"/>
      <c r="HZ24" s="32"/>
      <c r="IA24" s="32"/>
      <c r="IB24" s="32"/>
      <c r="IC24" s="32"/>
      <c r="ID24" s="32"/>
      <c r="IE24" s="32"/>
      <c r="IF24" s="32"/>
      <c r="IG24" s="32"/>
      <c r="IH24" s="32"/>
      <c r="II24" s="32"/>
      <c r="IJ24" s="32"/>
      <c r="IK24" s="32"/>
      <c r="IL24" s="32"/>
      <c r="IM24" s="32"/>
      <c r="IN24" s="32"/>
      <c r="IO24" s="32"/>
      <c r="IP24" s="32"/>
      <c r="IQ24" s="32"/>
      <c r="IR24" s="32"/>
      <c r="IS24" s="32"/>
      <c r="IT24" s="32"/>
      <c r="IU24" s="32"/>
      <c r="IV24" s="32"/>
      <c r="IW24" s="32"/>
      <c r="IX24" s="32"/>
      <c r="IY24" s="32"/>
      <c r="IZ24" s="32"/>
      <c r="JA24" s="32"/>
      <c r="JB24" s="32"/>
      <c r="JC24" s="32"/>
      <c r="JD24" s="32"/>
      <c r="JE24" s="32"/>
      <c r="JF24" s="32"/>
      <c r="JG24" s="32"/>
      <c r="JH24" s="32"/>
      <c r="JI24" s="32"/>
      <c r="JJ24" s="32"/>
      <c r="JK24" s="32"/>
      <c r="JL24" s="32"/>
      <c r="JM24" s="32"/>
      <c r="JN24" s="32"/>
      <c r="JO24" s="32"/>
      <c r="JP24" s="32"/>
      <c r="JQ24" s="32"/>
      <c r="JR24" s="32"/>
      <c r="JS24" s="32"/>
      <c r="JT24" s="32"/>
      <c r="JU24" s="32"/>
      <c r="JV24" s="32"/>
      <c r="JW24" s="32"/>
      <c r="JX24" s="32"/>
      <c r="JY24" s="32"/>
      <c r="JZ24" s="32"/>
      <c r="KA24" s="32"/>
      <c r="KB24" s="32"/>
      <c r="KC24" s="32"/>
      <c r="KD24" s="32"/>
      <c r="KE24" s="32"/>
      <c r="KF24" s="32"/>
      <c r="KG24" s="32"/>
      <c r="KH24" s="32"/>
      <c r="KI24" s="32"/>
      <c r="KJ24" s="32"/>
      <c r="KK24" s="32"/>
      <c r="KL24" s="32"/>
      <c r="KM24" s="32"/>
      <c r="KN24" s="32"/>
      <c r="KO24" s="32"/>
      <c r="KP24" s="32"/>
      <c r="KQ24" s="32"/>
      <c r="KR24" s="32"/>
      <c r="KS24" s="32"/>
      <c r="KT24" s="32"/>
      <c r="KU24" s="32"/>
      <c r="KV24" s="32"/>
      <c r="KW24" s="32"/>
      <c r="KX24" s="32"/>
    </row>
    <row r="25" spans="1:310" s="40" customFormat="1" ht="30" customHeight="1" x14ac:dyDescent="0.25">
      <c r="A25" s="4"/>
      <c r="B25" s="41" t="s">
        <v>50</v>
      </c>
      <c r="C25" s="46"/>
      <c r="D25" s="46" t="s">
        <v>51</v>
      </c>
      <c r="E25" s="43">
        <v>1</v>
      </c>
      <c r="F25" s="44">
        <v>46103</v>
      </c>
      <c r="G25" s="44">
        <v>46108</v>
      </c>
      <c r="H25" s="39"/>
      <c r="I25" s="39"/>
      <c r="J25" s="32"/>
      <c r="K25" s="32"/>
      <c r="L25" s="32"/>
      <c r="M25" s="32"/>
      <c r="N25" s="32"/>
      <c r="O25" s="32"/>
      <c r="P25" s="32"/>
      <c r="Q25" s="32"/>
      <c r="R25" s="32"/>
      <c r="S25" s="32"/>
      <c r="T25" s="32"/>
      <c r="U25" s="32"/>
      <c r="V25" s="32"/>
      <c r="W25" s="32"/>
      <c r="X25" s="32"/>
      <c r="Y25" s="32"/>
      <c r="Z25" s="47"/>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32"/>
      <c r="GR25" s="32"/>
      <c r="GS25" s="32"/>
      <c r="GT25" s="32"/>
      <c r="GU25" s="32"/>
      <c r="GV25" s="32"/>
      <c r="GW25" s="32"/>
      <c r="GX25" s="32"/>
      <c r="GY25" s="32"/>
      <c r="GZ25" s="32"/>
      <c r="HA25" s="32"/>
      <c r="HB25" s="32"/>
      <c r="HC25" s="32"/>
      <c r="HD25" s="32"/>
      <c r="HE25" s="32"/>
      <c r="HF25" s="32"/>
      <c r="HG25" s="32"/>
      <c r="HH25" s="32"/>
      <c r="HI25" s="32"/>
      <c r="HJ25" s="32"/>
      <c r="HK25" s="32"/>
      <c r="HL25" s="32"/>
      <c r="HM25" s="32"/>
      <c r="HN25" s="32"/>
      <c r="HO25" s="32"/>
      <c r="HP25" s="32"/>
      <c r="HQ25" s="32"/>
      <c r="HR25" s="32"/>
      <c r="HS25" s="32"/>
      <c r="HT25" s="32"/>
      <c r="HU25" s="32"/>
      <c r="HV25" s="32"/>
      <c r="HW25" s="32"/>
      <c r="HX25" s="32"/>
      <c r="HY25" s="32"/>
      <c r="HZ25" s="32"/>
      <c r="IA25" s="32"/>
      <c r="IB25" s="32"/>
      <c r="IC25" s="32"/>
      <c r="ID25" s="32"/>
      <c r="IE25" s="32"/>
      <c r="IF25" s="32"/>
      <c r="IG25" s="32"/>
      <c r="IH25" s="32"/>
      <c r="II25" s="32"/>
      <c r="IJ25" s="32"/>
      <c r="IK25" s="32"/>
      <c r="IL25" s="32"/>
      <c r="IM25" s="32"/>
      <c r="IN25" s="32"/>
      <c r="IO25" s="32"/>
      <c r="IP25" s="32"/>
      <c r="IQ25" s="32"/>
      <c r="IR25" s="32"/>
      <c r="IS25" s="32"/>
      <c r="IT25" s="32"/>
      <c r="IU25" s="32"/>
      <c r="IV25" s="32"/>
      <c r="IW25" s="32"/>
      <c r="IX25" s="32"/>
      <c r="IY25" s="32"/>
      <c r="IZ25" s="32"/>
      <c r="JA25" s="32"/>
      <c r="JB25" s="32"/>
      <c r="JC25" s="32"/>
      <c r="JD25" s="32"/>
      <c r="JE25" s="32"/>
      <c r="JF25" s="32"/>
      <c r="JG25" s="32"/>
      <c r="JH25" s="32"/>
      <c r="JI25" s="32"/>
      <c r="JJ25" s="32"/>
      <c r="JK25" s="32"/>
      <c r="JL25" s="32"/>
      <c r="JM25" s="32"/>
      <c r="JN25" s="32"/>
      <c r="JO25" s="32"/>
      <c r="JP25" s="32"/>
      <c r="JQ25" s="32"/>
      <c r="JR25" s="32"/>
      <c r="JS25" s="32"/>
      <c r="JT25" s="32"/>
      <c r="JU25" s="32"/>
      <c r="JV25" s="32"/>
      <c r="JW25" s="32"/>
      <c r="JX25" s="32"/>
      <c r="JY25" s="32"/>
      <c r="JZ25" s="32"/>
      <c r="KA25" s="32"/>
      <c r="KB25" s="32"/>
      <c r="KC25" s="32"/>
      <c r="KD25" s="32"/>
      <c r="KE25" s="32"/>
      <c r="KF25" s="32"/>
      <c r="KG25" s="32"/>
      <c r="KH25" s="32"/>
      <c r="KI25" s="32"/>
      <c r="KJ25" s="32"/>
      <c r="KK25" s="32"/>
      <c r="KL25" s="32"/>
      <c r="KM25" s="32"/>
      <c r="KN25" s="32"/>
      <c r="KO25" s="32"/>
      <c r="KP25" s="32"/>
      <c r="KQ25" s="32"/>
      <c r="KR25" s="32"/>
      <c r="KS25" s="32"/>
      <c r="KT25" s="32"/>
      <c r="KU25" s="32"/>
      <c r="KV25" s="32"/>
      <c r="KW25" s="32"/>
      <c r="KX25" s="32"/>
    </row>
    <row r="26" spans="1:310" s="40" customFormat="1" ht="30" customHeight="1" x14ac:dyDescent="0.25">
      <c r="A26" s="4"/>
      <c r="B26" s="41" t="s">
        <v>52</v>
      </c>
      <c r="C26" s="46"/>
      <c r="D26" s="46" t="s">
        <v>53</v>
      </c>
      <c r="E26" s="43">
        <v>1</v>
      </c>
      <c r="F26" s="44">
        <v>46116</v>
      </c>
      <c r="G26" s="44">
        <v>46118</v>
      </c>
      <c r="H26" s="39"/>
      <c r="I26" s="39"/>
      <c r="J26" s="32"/>
      <c r="K26" s="32"/>
      <c r="L26" s="32"/>
      <c r="M26" s="32"/>
      <c r="N26" s="32"/>
      <c r="O26" s="32"/>
      <c r="P26" s="32"/>
      <c r="Q26" s="32"/>
      <c r="R26" s="32"/>
      <c r="S26" s="32"/>
      <c r="T26" s="32"/>
      <c r="U26" s="32"/>
      <c r="V26" s="32"/>
      <c r="W26" s="32"/>
      <c r="X26" s="32"/>
      <c r="Y26" s="32"/>
      <c r="Z26" s="47"/>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32"/>
      <c r="GR26" s="32"/>
      <c r="GS26" s="32"/>
      <c r="GT26" s="32"/>
      <c r="GU26" s="32"/>
      <c r="GV26" s="32"/>
      <c r="GW26" s="32"/>
      <c r="GX26" s="32"/>
      <c r="GY26" s="32"/>
      <c r="GZ26" s="32"/>
      <c r="HA26" s="32"/>
      <c r="HB26" s="32"/>
      <c r="HC26" s="32"/>
      <c r="HD26" s="32"/>
      <c r="HE26" s="32"/>
      <c r="HF26" s="32"/>
      <c r="HG26" s="32"/>
      <c r="HH26" s="32"/>
      <c r="HI26" s="32"/>
      <c r="HJ26" s="32"/>
      <c r="HK26" s="32"/>
      <c r="HL26" s="32"/>
      <c r="HM26" s="32"/>
      <c r="HN26" s="32"/>
      <c r="HO26" s="32"/>
      <c r="HP26" s="32"/>
      <c r="HQ26" s="32"/>
      <c r="HR26" s="32"/>
      <c r="HS26" s="32"/>
      <c r="HT26" s="32"/>
      <c r="HU26" s="32"/>
      <c r="HV26" s="32"/>
      <c r="HW26" s="32"/>
      <c r="HX26" s="32"/>
      <c r="HY26" s="32"/>
      <c r="HZ26" s="32"/>
      <c r="IA26" s="32"/>
      <c r="IB26" s="32"/>
      <c r="IC26" s="32"/>
      <c r="ID26" s="32"/>
      <c r="IE26" s="32"/>
      <c r="IF26" s="32"/>
      <c r="IG26" s="32"/>
      <c r="IH26" s="32"/>
      <c r="II26" s="32"/>
      <c r="IJ26" s="32"/>
      <c r="IK26" s="32"/>
      <c r="IL26" s="32"/>
      <c r="IM26" s="32"/>
      <c r="IN26" s="32"/>
      <c r="IO26" s="32"/>
      <c r="IP26" s="32"/>
      <c r="IQ26" s="32"/>
      <c r="IR26" s="32"/>
      <c r="IS26" s="32"/>
      <c r="IT26" s="32"/>
      <c r="IU26" s="32"/>
      <c r="IV26" s="32"/>
      <c r="IW26" s="32"/>
      <c r="IX26" s="32"/>
      <c r="IY26" s="32"/>
      <c r="IZ26" s="32"/>
      <c r="JA26" s="32"/>
      <c r="JB26" s="32"/>
      <c r="JC26" s="32"/>
      <c r="JD26" s="32"/>
      <c r="JE26" s="32"/>
      <c r="JF26" s="32"/>
      <c r="JG26" s="32"/>
      <c r="JH26" s="32"/>
      <c r="JI26" s="32"/>
      <c r="JJ26" s="32"/>
      <c r="JK26" s="32"/>
      <c r="JL26" s="32"/>
      <c r="JM26" s="32"/>
      <c r="JN26" s="32"/>
      <c r="JO26" s="32"/>
      <c r="JP26" s="32"/>
      <c r="JQ26" s="32"/>
      <c r="JR26" s="32"/>
      <c r="JS26" s="32"/>
      <c r="JT26" s="32"/>
      <c r="JU26" s="32"/>
      <c r="JV26" s="32"/>
      <c r="JW26" s="32"/>
      <c r="JX26" s="32"/>
      <c r="JY26" s="32"/>
      <c r="JZ26" s="32"/>
      <c r="KA26" s="32"/>
      <c r="KB26" s="32"/>
      <c r="KC26" s="32"/>
      <c r="KD26" s="32"/>
      <c r="KE26" s="32"/>
      <c r="KF26" s="32"/>
      <c r="KG26" s="32"/>
      <c r="KH26" s="32"/>
      <c r="KI26" s="32"/>
      <c r="KJ26" s="32"/>
      <c r="KK26" s="32"/>
      <c r="KL26" s="32"/>
      <c r="KM26" s="32"/>
      <c r="KN26" s="32"/>
      <c r="KO26" s="32"/>
      <c r="KP26" s="32"/>
      <c r="KQ26" s="32"/>
      <c r="KR26" s="32"/>
      <c r="KS26" s="32"/>
      <c r="KT26" s="32"/>
      <c r="KU26" s="32"/>
      <c r="KV26" s="32"/>
      <c r="KW26" s="32"/>
      <c r="KX26" s="32"/>
    </row>
    <row r="27" spans="1:310" s="40" customFormat="1" ht="30" customHeight="1" x14ac:dyDescent="0.25">
      <c r="A27" s="6"/>
      <c r="B27" s="41" t="s">
        <v>54</v>
      </c>
      <c r="C27" s="42"/>
      <c r="D27" s="42" t="s">
        <v>37</v>
      </c>
      <c r="E27" s="43">
        <v>1</v>
      </c>
      <c r="F27" s="44">
        <v>46116</v>
      </c>
      <c r="G27" s="44">
        <v>46117</v>
      </c>
      <c r="H27" s="39"/>
      <c r="I27" s="39"/>
      <c r="J27" s="45"/>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32"/>
      <c r="GR27" s="32"/>
      <c r="GS27" s="32"/>
      <c r="GT27" s="32"/>
      <c r="GU27" s="32"/>
      <c r="GV27" s="32"/>
      <c r="GW27" s="32"/>
      <c r="GX27" s="32"/>
      <c r="GY27" s="32"/>
      <c r="GZ27" s="32"/>
      <c r="HA27" s="32"/>
      <c r="HB27" s="32"/>
      <c r="HC27" s="32"/>
      <c r="HD27" s="32"/>
      <c r="HE27" s="32"/>
      <c r="HF27" s="32"/>
      <c r="HG27" s="32"/>
      <c r="HH27" s="32"/>
      <c r="HI27" s="32"/>
      <c r="HJ27" s="32"/>
      <c r="HK27" s="32"/>
      <c r="HL27" s="32"/>
      <c r="HM27" s="32"/>
      <c r="HN27" s="32"/>
      <c r="HO27" s="32"/>
      <c r="HP27" s="32"/>
      <c r="HQ27" s="32"/>
      <c r="HR27" s="32"/>
      <c r="HS27" s="32"/>
      <c r="HT27" s="32"/>
      <c r="HU27" s="32"/>
      <c r="HV27" s="32"/>
      <c r="HW27" s="32"/>
      <c r="HX27" s="32"/>
      <c r="HY27" s="32"/>
      <c r="HZ27" s="32"/>
      <c r="IA27" s="32"/>
      <c r="IB27" s="32"/>
      <c r="IC27" s="32"/>
      <c r="ID27" s="32"/>
      <c r="IE27" s="32"/>
      <c r="IF27" s="32"/>
      <c r="IG27" s="32"/>
      <c r="IH27" s="32"/>
      <c r="II27" s="32"/>
      <c r="IJ27" s="32"/>
      <c r="IK27" s="32"/>
      <c r="IL27" s="32"/>
      <c r="IM27" s="32"/>
      <c r="IN27" s="32"/>
      <c r="IO27" s="32"/>
      <c r="IP27" s="32"/>
      <c r="IQ27" s="32"/>
      <c r="IR27" s="32"/>
      <c r="IS27" s="32"/>
      <c r="IT27" s="32"/>
      <c r="IU27" s="32"/>
      <c r="IV27" s="32"/>
      <c r="IW27" s="32"/>
      <c r="IX27" s="32"/>
      <c r="IY27" s="32"/>
      <c r="IZ27" s="32"/>
      <c r="JA27" s="32"/>
      <c r="JB27" s="32"/>
      <c r="JC27" s="32"/>
      <c r="JD27" s="32"/>
      <c r="JE27" s="32"/>
      <c r="JF27" s="32"/>
      <c r="JG27" s="32"/>
      <c r="JH27" s="32"/>
      <c r="JI27" s="32"/>
      <c r="JJ27" s="32"/>
      <c r="JK27" s="32"/>
      <c r="JL27" s="32"/>
      <c r="JM27" s="32"/>
      <c r="JN27" s="32"/>
      <c r="JO27" s="32"/>
      <c r="JP27" s="32"/>
      <c r="JQ27" s="32"/>
      <c r="JR27" s="32"/>
      <c r="JS27" s="32"/>
      <c r="JT27" s="32"/>
      <c r="JU27" s="32"/>
      <c r="JV27" s="32"/>
      <c r="JW27" s="32"/>
      <c r="JX27" s="32"/>
      <c r="JY27" s="32"/>
      <c r="JZ27" s="32"/>
      <c r="KA27" s="32"/>
      <c r="KB27" s="32"/>
      <c r="KC27" s="32"/>
      <c r="KD27" s="32"/>
      <c r="KE27" s="32"/>
      <c r="KF27" s="32"/>
      <c r="KG27" s="32"/>
      <c r="KH27" s="32"/>
      <c r="KI27" s="32"/>
      <c r="KJ27" s="32"/>
      <c r="KK27" s="32"/>
      <c r="KL27" s="32"/>
      <c r="KM27" s="32"/>
      <c r="KN27" s="32"/>
      <c r="KO27" s="32"/>
      <c r="KP27" s="32"/>
      <c r="KQ27" s="32"/>
      <c r="KR27" s="32"/>
      <c r="KS27" s="32"/>
      <c r="KT27" s="32"/>
      <c r="KU27" s="32"/>
      <c r="KV27" s="32"/>
      <c r="KW27" s="32"/>
      <c r="KX27" s="32"/>
    </row>
    <row r="28" spans="1:310" s="40" customFormat="1" ht="30" customHeight="1" x14ac:dyDescent="0.25">
      <c r="A28" s="4"/>
      <c r="B28" s="41" t="s">
        <v>55</v>
      </c>
      <c r="C28" s="46"/>
      <c r="D28" s="46" t="s">
        <v>37</v>
      </c>
      <c r="E28" s="43">
        <v>1</v>
      </c>
      <c r="F28" s="44">
        <v>46118</v>
      </c>
      <c r="G28" s="44">
        <v>46118</v>
      </c>
      <c r="H28" s="39"/>
      <c r="I28" s="39"/>
      <c r="J28" s="32"/>
      <c r="K28" s="32"/>
      <c r="L28" s="32"/>
      <c r="M28" s="32"/>
      <c r="N28" s="32"/>
      <c r="O28" s="32"/>
      <c r="P28" s="32"/>
      <c r="Q28" s="32"/>
      <c r="R28" s="32"/>
      <c r="S28" s="32"/>
      <c r="T28" s="32"/>
      <c r="U28" s="32"/>
      <c r="V28" s="32"/>
      <c r="W28" s="32"/>
      <c r="X28" s="32"/>
      <c r="Y28" s="32"/>
      <c r="Z28" s="47"/>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32"/>
      <c r="GR28" s="32"/>
      <c r="GS28" s="32"/>
      <c r="GT28" s="32"/>
      <c r="GU28" s="32"/>
      <c r="GV28" s="32"/>
      <c r="GW28" s="32"/>
      <c r="GX28" s="32"/>
      <c r="GY28" s="32"/>
      <c r="GZ28" s="32"/>
      <c r="HA28" s="32"/>
      <c r="HB28" s="32"/>
      <c r="HC28" s="32"/>
      <c r="HD28" s="32"/>
      <c r="HE28" s="32"/>
      <c r="HF28" s="32"/>
      <c r="HG28" s="32"/>
      <c r="HH28" s="32"/>
      <c r="HI28" s="32"/>
      <c r="HJ28" s="32"/>
      <c r="HK28" s="32"/>
      <c r="HL28" s="32"/>
      <c r="HM28" s="32"/>
      <c r="HN28" s="32"/>
      <c r="HO28" s="32"/>
      <c r="HP28" s="32"/>
      <c r="HQ28" s="32"/>
      <c r="HR28" s="32"/>
      <c r="HS28" s="32"/>
      <c r="HT28" s="32"/>
      <c r="HU28" s="32"/>
      <c r="HV28" s="32"/>
      <c r="HW28" s="32"/>
      <c r="HX28" s="32"/>
      <c r="HY28" s="32"/>
      <c r="HZ28" s="32"/>
      <c r="IA28" s="32"/>
      <c r="IB28" s="32"/>
      <c r="IC28" s="32"/>
      <c r="ID28" s="32"/>
      <c r="IE28" s="32"/>
      <c r="IF28" s="32"/>
      <c r="IG28" s="32"/>
      <c r="IH28" s="32"/>
      <c r="II28" s="32"/>
      <c r="IJ28" s="32"/>
      <c r="IK28" s="32"/>
      <c r="IL28" s="32"/>
      <c r="IM28" s="32"/>
      <c r="IN28" s="32"/>
      <c r="IO28" s="32"/>
      <c r="IP28" s="32"/>
      <c r="IQ28" s="32"/>
      <c r="IR28" s="32"/>
      <c r="IS28" s="32"/>
      <c r="IT28" s="32"/>
      <c r="IU28" s="32"/>
      <c r="IV28" s="32"/>
      <c r="IW28" s="32"/>
      <c r="IX28" s="32"/>
      <c r="IY28" s="32"/>
      <c r="IZ28" s="32"/>
      <c r="JA28" s="32"/>
      <c r="JB28" s="32"/>
      <c r="JC28" s="32"/>
      <c r="JD28" s="32"/>
      <c r="JE28" s="32"/>
      <c r="JF28" s="32"/>
      <c r="JG28" s="32"/>
      <c r="JH28" s="32"/>
      <c r="JI28" s="32"/>
      <c r="JJ28" s="32"/>
      <c r="JK28" s="32"/>
      <c r="JL28" s="32"/>
      <c r="JM28" s="32"/>
      <c r="JN28" s="32"/>
      <c r="JO28" s="32"/>
      <c r="JP28" s="32"/>
      <c r="JQ28" s="32"/>
      <c r="JR28" s="32"/>
      <c r="JS28" s="32"/>
      <c r="JT28" s="32"/>
      <c r="JU28" s="32"/>
      <c r="JV28" s="32"/>
      <c r="JW28" s="32"/>
      <c r="JX28" s="32"/>
      <c r="JY28" s="32"/>
      <c r="JZ28" s="32"/>
      <c r="KA28" s="32"/>
      <c r="KB28" s="32"/>
      <c r="KC28" s="32"/>
      <c r="KD28" s="32"/>
      <c r="KE28" s="32"/>
      <c r="KF28" s="32"/>
      <c r="KG28" s="32"/>
      <c r="KH28" s="32"/>
      <c r="KI28" s="32"/>
      <c r="KJ28" s="32"/>
      <c r="KK28" s="32"/>
      <c r="KL28" s="32"/>
      <c r="KM28" s="32"/>
      <c r="KN28" s="32"/>
      <c r="KO28" s="32"/>
      <c r="KP28" s="32"/>
      <c r="KQ28" s="32"/>
      <c r="KR28" s="32"/>
      <c r="KS28" s="32"/>
      <c r="KT28" s="32"/>
      <c r="KU28" s="32"/>
      <c r="KV28" s="32"/>
      <c r="KW28" s="32"/>
      <c r="KX28" s="32"/>
    </row>
    <row r="29" spans="1:310" s="40" customFormat="1" ht="30" customHeight="1" x14ac:dyDescent="0.25">
      <c r="A29" s="4"/>
      <c r="B29" s="41" t="s">
        <v>56</v>
      </c>
      <c r="C29" s="46"/>
      <c r="D29" s="46" t="s">
        <v>57</v>
      </c>
      <c r="E29" s="43">
        <v>1</v>
      </c>
      <c r="F29" s="44">
        <v>46102</v>
      </c>
      <c r="G29" s="44">
        <v>46127</v>
      </c>
      <c r="H29" s="39"/>
      <c r="I29" s="39"/>
      <c r="J29" s="32"/>
      <c r="K29" s="32"/>
      <c r="L29" s="32"/>
      <c r="M29" s="32"/>
      <c r="N29" s="32"/>
      <c r="O29" s="32"/>
      <c r="P29" s="32"/>
      <c r="Q29" s="32"/>
      <c r="R29" s="32"/>
      <c r="S29" s="32"/>
      <c r="T29" s="32"/>
      <c r="U29" s="32"/>
      <c r="V29" s="32"/>
      <c r="W29" s="32"/>
      <c r="X29" s="32"/>
      <c r="Y29" s="32"/>
      <c r="Z29" s="47"/>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32"/>
      <c r="GR29" s="32"/>
      <c r="GS29" s="32"/>
      <c r="GT29" s="32"/>
      <c r="GU29" s="32"/>
      <c r="GV29" s="32"/>
      <c r="GW29" s="32"/>
      <c r="GX29" s="32"/>
      <c r="GY29" s="32"/>
      <c r="GZ29" s="32"/>
      <c r="HA29" s="32"/>
      <c r="HB29" s="32"/>
      <c r="HC29" s="32"/>
      <c r="HD29" s="32"/>
      <c r="HE29" s="32"/>
      <c r="HF29" s="32"/>
      <c r="HG29" s="32"/>
      <c r="HH29" s="32"/>
      <c r="HI29" s="32"/>
      <c r="HJ29" s="32"/>
      <c r="HK29" s="32"/>
      <c r="HL29" s="32"/>
      <c r="HM29" s="32"/>
      <c r="HN29" s="32"/>
      <c r="HO29" s="32"/>
      <c r="HP29" s="32"/>
      <c r="HQ29" s="32"/>
      <c r="HR29" s="32"/>
      <c r="HS29" s="32"/>
      <c r="HT29" s="32"/>
      <c r="HU29" s="32"/>
      <c r="HV29" s="32"/>
      <c r="HW29" s="32"/>
      <c r="HX29" s="32"/>
      <c r="HY29" s="32"/>
      <c r="HZ29" s="32"/>
      <c r="IA29" s="32"/>
      <c r="IB29" s="32"/>
      <c r="IC29" s="32"/>
      <c r="ID29" s="32"/>
      <c r="IE29" s="32"/>
      <c r="IF29" s="32"/>
      <c r="IG29" s="32"/>
      <c r="IH29" s="32"/>
      <c r="II29" s="32"/>
      <c r="IJ29" s="32"/>
      <c r="IK29" s="32"/>
      <c r="IL29" s="32"/>
      <c r="IM29" s="32"/>
      <c r="IN29" s="32"/>
      <c r="IO29" s="32"/>
      <c r="IP29" s="32"/>
      <c r="IQ29" s="32"/>
      <c r="IR29" s="32"/>
      <c r="IS29" s="32"/>
      <c r="IT29" s="32"/>
      <c r="IU29" s="32"/>
      <c r="IV29" s="32"/>
      <c r="IW29" s="32"/>
      <c r="IX29" s="32"/>
      <c r="IY29" s="32"/>
      <c r="IZ29" s="32"/>
      <c r="JA29" s="32"/>
      <c r="JB29" s="32"/>
      <c r="JC29" s="32"/>
      <c r="JD29" s="32"/>
      <c r="JE29" s="32"/>
      <c r="JF29" s="32"/>
      <c r="JG29" s="32"/>
      <c r="JH29" s="32"/>
      <c r="JI29" s="32"/>
      <c r="JJ29" s="32"/>
      <c r="JK29" s="32"/>
      <c r="JL29" s="32"/>
      <c r="JM29" s="32"/>
      <c r="JN29" s="32"/>
      <c r="JO29" s="32"/>
      <c r="JP29" s="32"/>
      <c r="JQ29" s="32"/>
      <c r="JR29" s="32"/>
      <c r="JS29" s="32"/>
      <c r="JT29" s="32"/>
      <c r="JU29" s="32"/>
      <c r="JV29" s="32"/>
      <c r="JW29" s="32"/>
      <c r="JX29" s="32"/>
      <c r="JY29" s="32"/>
      <c r="JZ29" s="32"/>
      <c r="KA29" s="32"/>
      <c r="KB29" s="32"/>
      <c r="KC29" s="32"/>
      <c r="KD29" s="32"/>
      <c r="KE29" s="32"/>
      <c r="KF29" s="32"/>
      <c r="KG29" s="32"/>
      <c r="KH29" s="32"/>
      <c r="KI29" s="32"/>
      <c r="KJ29" s="32"/>
      <c r="KK29" s="32"/>
      <c r="KL29" s="32"/>
      <c r="KM29" s="32"/>
      <c r="KN29" s="32"/>
      <c r="KO29" s="32"/>
      <c r="KP29" s="32"/>
      <c r="KQ29" s="32"/>
      <c r="KR29" s="32"/>
      <c r="KS29" s="32"/>
      <c r="KT29" s="32"/>
      <c r="KU29" s="32"/>
      <c r="KV29" s="32"/>
      <c r="KW29" s="32"/>
      <c r="KX29" s="32"/>
    </row>
    <row r="30" spans="1:310" s="40" customFormat="1" ht="30" customHeight="1" x14ac:dyDescent="0.25">
      <c r="A30" s="4"/>
      <c r="B30" s="41" t="s">
        <v>58</v>
      </c>
      <c r="C30" s="46"/>
      <c r="D30" s="46" t="s">
        <v>24</v>
      </c>
      <c r="E30" s="43">
        <v>1</v>
      </c>
      <c r="F30" s="44">
        <v>46120</v>
      </c>
      <c r="G30" s="44">
        <v>46120</v>
      </c>
      <c r="H30" s="39"/>
      <c r="I30" s="39"/>
      <c r="J30" s="32"/>
      <c r="K30" s="32"/>
      <c r="L30" s="32"/>
      <c r="M30" s="32"/>
      <c r="N30" s="32"/>
      <c r="O30" s="32"/>
      <c r="P30" s="32"/>
      <c r="Q30" s="32"/>
      <c r="R30" s="32"/>
      <c r="S30" s="32"/>
      <c r="T30" s="32"/>
      <c r="U30" s="32"/>
      <c r="V30" s="32"/>
      <c r="W30" s="32"/>
      <c r="X30" s="32"/>
      <c r="Y30" s="32"/>
      <c r="Z30" s="47"/>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32"/>
      <c r="GR30" s="32"/>
      <c r="GS30" s="32"/>
      <c r="GT30" s="32"/>
      <c r="GU30" s="32"/>
      <c r="GV30" s="32"/>
      <c r="GW30" s="32"/>
      <c r="GX30" s="32"/>
      <c r="GY30" s="32"/>
      <c r="GZ30" s="32"/>
      <c r="HA30" s="32"/>
      <c r="HB30" s="32"/>
      <c r="HC30" s="32"/>
      <c r="HD30" s="32"/>
      <c r="HE30" s="32"/>
      <c r="HF30" s="32"/>
      <c r="HG30" s="32"/>
      <c r="HH30" s="32"/>
      <c r="HI30" s="32"/>
      <c r="HJ30" s="32"/>
      <c r="HK30" s="32"/>
      <c r="HL30" s="32"/>
      <c r="HM30" s="32"/>
      <c r="HN30" s="32"/>
      <c r="HO30" s="32"/>
      <c r="HP30" s="32"/>
      <c r="HQ30" s="32"/>
      <c r="HR30" s="32"/>
      <c r="HS30" s="32"/>
      <c r="HT30" s="32"/>
      <c r="HU30" s="32"/>
      <c r="HV30" s="32"/>
      <c r="HW30" s="32"/>
      <c r="HX30" s="32"/>
      <c r="HY30" s="32"/>
      <c r="HZ30" s="32"/>
      <c r="IA30" s="32"/>
      <c r="IB30" s="32"/>
      <c r="IC30" s="32"/>
      <c r="ID30" s="32"/>
      <c r="IE30" s="32"/>
      <c r="IF30" s="32"/>
      <c r="IG30" s="32"/>
      <c r="IH30" s="32"/>
      <c r="II30" s="32"/>
      <c r="IJ30" s="32"/>
      <c r="IK30" s="32"/>
      <c r="IL30" s="32"/>
      <c r="IM30" s="32"/>
      <c r="IN30" s="32"/>
      <c r="IO30" s="32"/>
      <c r="IP30" s="32"/>
      <c r="IQ30" s="32"/>
      <c r="IR30" s="32"/>
      <c r="IS30" s="32"/>
      <c r="IT30" s="32"/>
      <c r="IU30" s="32"/>
      <c r="IV30" s="32"/>
      <c r="IW30" s="32"/>
      <c r="IX30" s="32"/>
      <c r="IY30" s="32"/>
      <c r="IZ30" s="32"/>
      <c r="JA30" s="32"/>
      <c r="JB30" s="32"/>
      <c r="JC30" s="32"/>
      <c r="JD30" s="32"/>
      <c r="JE30" s="32"/>
      <c r="JF30" s="32"/>
      <c r="JG30" s="32"/>
      <c r="JH30" s="32"/>
      <c r="JI30" s="32"/>
      <c r="JJ30" s="32"/>
      <c r="JK30" s="32"/>
      <c r="JL30" s="32"/>
      <c r="JM30" s="32"/>
      <c r="JN30" s="32"/>
      <c r="JO30" s="32"/>
      <c r="JP30" s="32"/>
      <c r="JQ30" s="32"/>
      <c r="JR30" s="32"/>
      <c r="JS30" s="32"/>
      <c r="JT30" s="32"/>
      <c r="JU30" s="32"/>
      <c r="JV30" s="32"/>
      <c r="JW30" s="32"/>
      <c r="JX30" s="32"/>
      <c r="JY30" s="32"/>
      <c r="JZ30" s="32"/>
      <c r="KA30" s="32"/>
      <c r="KB30" s="32"/>
      <c r="KC30" s="32"/>
      <c r="KD30" s="32"/>
      <c r="KE30" s="32"/>
      <c r="KF30" s="32"/>
      <c r="KG30" s="32"/>
      <c r="KH30" s="32"/>
      <c r="KI30" s="32"/>
      <c r="KJ30" s="32"/>
      <c r="KK30" s="32"/>
      <c r="KL30" s="32"/>
      <c r="KM30" s="32"/>
      <c r="KN30" s="32"/>
      <c r="KO30" s="32"/>
      <c r="KP30" s="32"/>
      <c r="KQ30" s="32"/>
      <c r="KR30" s="32"/>
      <c r="KS30" s="32"/>
      <c r="KT30" s="32"/>
      <c r="KU30" s="32"/>
      <c r="KV30" s="32"/>
      <c r="KW30" s="32"/>
      <c r="KX30" s="32"/>
    </row>
    <row r="31" spans="1:310" s="40" customFormat="1" ht="30" customHeight="1" x14ac:dyDescent="0.25">
      <c r="A31" s="4"/>
      <c r="B31" s="41" t="s">
        <v>59</v>
      </c>
      <c r="C31" s="46"/>
      <c r="D31" s="46" t="s">
        <v>60</v>
      </c>
      <c r="E31" s="43">
        <v>1</v>
      </c>
      <c r="F31" s="44">
        <v>46098</v>
      </c>
      <c r="G31" s="44">
        <v>46129</v>
      </c>
      <c r="H31" s="39"/>
      <c r="I31" s="39"/>
      <c r="J31" s="32"/>
      <c r="K31" s="32"/>
      <c r="L31" s="32"/>
      <c r="M31" s="32"/>
      <c r="N31" s="32"/>
      <c r="O31" s="32"/>
      <c r="P31" s="32"/>
      <c r="Q31" s="32"/>
      <c r="R31" s="32"/>
      <c r="S31" s="32"/>
      <c r="T31" s="32"/>
      <c r="U31" s="32"/>
      <c r="V31" s="32"/>
      <c r="W31" s="32"/>
      <c r="X31" s="32"/>
      <c r="Y31" s="32"/>
      <c r="Z31" s="47"/>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c r="GT31" s="32"/>
      <c r="GU31" s="32"/>
      <c r="GV31" s="32"/>
      <c r="GW31" s="32"/>
      <c r="GX31" s="32"/>
      <c r="GY31" s="32"/>
      <c r="GZ31" s="32"/>
      <c r="HA31" s="32"/>
      <c r="HB31" s="32"/>
      <c r="HC31" s="32"/>
      <c r="HD31" s="32"/>
      <c r="HE31" s="32"/>
      <c r="HF31" s="32"/>
      <c r="HG31" s="32"/>
      <c r="HH31" s="32"/>
      <c r="HI31" s="32"/>
      <c r="HJ31" s="32"/>
      <c r="HK31" s="32"/>
      <c r="HL31" s="32"/>
      <c r="HM31" s="32"/>
      <c r="HN31" s="32"/>
      <c r="HO31" s="32"/>
      <c r="HP31" s="32"/>
      <c r="HQ31" s="32"/>
      <c r="HR31" s="32"/>
      <c r="HS31" s="32"/>
      <c r="HT31" s="32"/>
      <c r="HU31" s="32"/>
      <c r="HV31" s="32"/>
      <c r="HW31" s="32"/>
      <c r="HX31" s="32"/>
      <c r="HY31" s="32"/>
      <c r="HZ31" s="32"/>
      <c r="IA31" s="32"/>
      <c r="IB31" s="32"/>
      <c r="IC31" s="32"/>
      <c r="ID31" s="32"/>
      <c r="IE31" s="32"/>
      <c r="IF31" s="32"/>
      <c r="IG31" s="32"/>
      <c r="IH31" s="32"/>
      <c r="II31" s="32"/>
      <c r="IJ31" s="32"/>
      <c r="IK31" s="32"/>
      <c r="IL31" s="32"/>
      <c r="IM31" s="32"/>
      <c r="IN31" s="32"/>
      <c r="IO31" s="32"/>
      <c r="IP31" s="32"/>
      <c r="IQ31" s="32"/>
      <c r="IR31" s="32"/>
      <c r="IS31" s="32"/>
      <c r="IT31" s="32"/>
      <c r="IU31" s="32"/>
      <c r="IV31" s="32"/>
      <c r="IW31" s="32"/>
      <c r="IX31" s="32"/>
      <c r="IY31" s="32"/>
      <c r="IZ31" s="32"/>
      <c r="JA31" s="32"/>
      <c r="JB31" s="32"/>
      <c r="JC31" s="32"/>
      <c r="JD31" s="32"/>
      <c r="JE31" s="32"/>
      <c r="JF31" s="32"/>
      <c r="JG31" s="32"/>
      <c r="JH31" s="32"/>
      <c r="JI31" s="32"/>
      <c r="JJ31" s="32"/>
      <c r="JK31" s="32"/>
      <c r="JL31" s="32"/>
      <c r="JM31" s="32"/>
      <c r="JN31" s="32"/>
      <c r="JO31" s="32"/>
      <c r="JP31" s="32"/>
      <c r="JQ31" s="32"/>
      <c r="JR31" s="32"/>
      <c r="JS31" s="32"/>
      <c r="JT31" s="32"/>
      <c r="JU31" s="32"/>
      <c r="JV31" s="32"/>
      <c r="JW31" s="32"/>
      <c r="JX31" s="32"/>
      <c r="JY31" s="32"/>
      <c r="JZ31" s="32"/>
      <c r="KA31" s="32"/>
      <c r="KB31" s="32"/>
      <c r="KC31" s="32"/>
      <c r="KD31" s="32"/>
      <c r="KE31" s="32"/>
      <c r="KF31" s="32"/>
      <c r="KG31" s="32"/>
      <c r="KH31" s="32"/>
      <c r="KI31" s="32"/>
      <c r="KJ31" s="32"/>
      <c r="KK31" s="32"/>
      <c r="KL31" s="32"/>
      <c r="KM31" s="32"/>
      <c r="KN31" s="32"/>
      <c r="KO31" s="32"/>
      <c r="KP31" s="32"/>
      <c r="KQ31" s="32"/>
      <c r="KR31" s="32"/>
      <c r="KS31" s="32"/>
      <c r="KT31" s="32"/>
      <c r="KU31" s="32"/>
      <c r="KV31" s="32"/>
      <c r="KW31" s="32"/>
      <c r="KX31" s="32"/>
    </row>
    <row r="32" spans="1:310" s="40" customFormat="1" ht="30" customHeight="1" x14ac:dyDescent="0.25">
      <c r="A32" s="4"/>
      <c r="B32" s="41" t="s">
        <v>61</v>
      </c>
      <c r="C32" s="46"/>
      <c r="D32" s="46" t="s">
        <v>33</v>
      </c>
      <c r="E32" s="43">
        <v>1</v>
      </c>
      <c r="F32" s="44">
        <v>46112</v>
      </c>
      <c r="G32" s="44">
        <v>46130</v>
      </c>
      <c r="H32" s="39"/>
      <c r="I32" s="39"/>
      <c r="J32" s="32"/>
      <c r="K32" s="32"/>
      <c r="L32" s="32"/>
      <c r="M32" s="32"/>
      <c r="N32" s="32"/>
      <c r="O32" s="32"/>
      <c r="P32" s="32"/>
      <c r="Q32" s="32"/>
      <c r="R32" s="32"/>
      <c r="S32" s="32"/>
      <c r="T32" s="32"/>
      <c r="U32" s="32"/>
      <c r="V32" s="32"/>
      <c r="W32" s="32"/>
      <c r="X32" s="32"/>
      <c r="Y32" s="32"/>
      <c r="Z32" s="47"/>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c r="GS32" s="32"/>
      <c r="GT32" s="32"/>
      <c r="GU32" s="32"/>
      <c r="GV32" s="32"/>
      <c r="GW32" s="32"/>
      <c r="GX32" s="32"/>
      <c r="GY32" s="32"/>
      <c r="GZ32" s="32"/>
      <c r="HA32" s="32"/>
      <c r="HB32" s="32"/>
      <c r="HC32" s="32"/>
      <c r="HD32" s="32"/>
      <c r="HE32" s="32"/>
      <c r="HF32" s="32"/>
      <c r="HG32" s="32"/>
      <c r="HH32" s="32"/>
      <c r="HI32" s="32"/>
      <c r="HJ32" s="32"/>
      <c r="HK32" s="32"/>
      <c r="HL32" s="32"/>
      <c r="HM32" s="32"/>
      <c r="HN32" s="32"/>
      <c r="HO32" s="32"/>
      <c r="HP32" s="32"/>
      <c r="HQ32" s="32"/>
      <c r="HR32" s="32"/>
      <c r="HS32" s="32"/>
      <c r="HT32" s="32"/>
      <c r="HU32" s="32"/>
      <c r="HV32" s="32"/>
      <c r="HW32" s="32"/>
      <c r="HX32" s="32"/>
      <c r="HY32" s="32"/>
      <c r="HZ32" s="32"/>
      <c r="IA32" s="32"/>
      <c r="IB32" s="32"/>
      <c r="IC32" s="32"/>
      <c r="ID32" s="32"/>
      <c r="IE32" s="32"/>
      <c r="IF32" s="32"/>
      <c r="IG32" s="32"/>
      <c r="IH32" s="32"/>
      <c r="II32" s="32"/>
      <c r="IJ32" s="32"/>
      <c r="IK32" s="32"/>
      <c r="IL32" s="32"/>
      <c r="IM32" s="32"/>
      <c r="IN32" s="32"/>
      <c r="IO32" s="32"/>
      <c r="IP32" s="32"/>
      <c r="IQ32" s="32"/>
      <c r="IR32" s="32"/>
      <c r="IS32" s="32"/>
      <c r="IT32" s="32"/>
      <c r="IU32" s="32"/>
      <c r="IV32" s="32"/>
      <c r="IW32" s="32"/>
      <c r="IX32" s="32"/>
      <c r="IY32" s="32"/>
      <c r="IZ32" s="32"/>
      <c r="JA32" s="32"/>
      <c r="JB32" s="32"/>
      <c r="JC32" s="32"/>
      <c r="JD32" s="32"/>
      <c r="JE32" s="32"/>
      <c r="JF32" s="32"/>
      <c r="JG32" s="32"/>
      <c r="JH32" s="32"/>
      <c r="JI32" s="32"/>
      <c r="JJ32" s="32"/>
      <c r="JK32" s="32"/>
      <c r="JL32" s="32"/>
      <c r="JM32" s="32"/>
      <c r="JN32" s="32"/>
      <c r="JO32" s="32"/>
      <c r="JP32" s="32"/>
      <c r="JQ32" s="32"/>
      <c r="JR32" s="32"/>
      <c r="JS32" s="32"/>
      <c r="JT32" s="32"/>
      <c r="JU32" s="32"/>
      <c r="JV32" s="32"/>
      <c r="JW32" s="32"/>
      <c r="JX32" s="32"/>
      <c r="JY32" s="32"/>
      <c r="JZ32" s="32"/>
      <c r="KA32" s="32"/>
      <c r="KB32" s="32"/>
      <c r="KC32" s="32"/>
      <c r="KD32" s="32"/>
      <c r="KE32" s="32"/>
      <c r="KF32" s="32"/>
      <c r="KG32" s="32"/>
      <c r="KH32" s="32"/>
      <c r="KI32" s="32"/>
      <c r="KJ32" s="32"/>
      <c r="KK32" s="32"/>
      <c r="KL32" s="32"/>
      <c r="KM32" s="32"/>
      <c r="KN32" s="32"/>
      <c r="KO32" s="32"/>
      <c r="KP32" s="32"/>
      <c r="KQ32" s="32"/>
      <c r="KR32" s="32"/>
      <c r="KS32" s="32"/>
      <c r="KT32" s="32"/>
      <c r="KU32" s="32"/>
      <c r="KV32" s="32"/>
      <c r="KW32" s="32"/>
      <c r="KX32" s="32"/>
    </row>
    <row r="33" spans="1:310" s="40" customFormat="1" ht="30" customHeight="1" x14ac:dyDescent="0.25">
      <c r="A33" s="4"/>
      <c r="B33" s="41" t="s">
        <v>62</v>
      </c>
      <c r="C33" s="46"/>
      <c r="D33" s="46" t="s">
        <v>60</v>
      </c>
      <c r="E33" s="43">
        <v>1</v>
      </c>
      <c r="F33" s="44">
        <v>46113</v>
      </c>
      <c r="G33" s="44">
        <v>46127</v>
      </c>
      <c r="H33" s="39"/>
      <c r="I33" s="39"/>
      <c r="J33" s="32"/>
      <c r="K33" s="32"/>
      <c r="L33" s="32"/>
      <c r="M33" s="32"/>
      <c r="N33" s="32"/>
      <c r="O33" s="32"/>
      <c r="P33" s="32"/>
      <c r="Q33" s="32"/>
      <c r="R33" s="32"/>
      <c r="S33" s="32"/>
      <c r="T33" s="32"/>
      <c r="U33" s="32"/>
      <c r="V33" s="32"/>
      <c r="W33" s="32"/>
      <c r="X33" s="32"/>
      <c r="Y33" s="32"/>
      <c r="Z33" s="47"/>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32"/>
      <c r="GR33" s="32"/>
      <c r="GS33" s="32"/>
      <c r="GT33" s="32"/>
      <c r="GU33" s="32"/>
      <c r="GV33" s="32"/>
      <c r="GW33" s="32"/>
      <c r="GX33" s="32"/>
      <c r="GY33" s="32"/>
      <c r="GZ33" s="32"/>
      <c r="HA33" s="32"/>
      <c r="HB33" s="32"/>
      <c r="HC33" s="32"/>
      <c r="HD33" s="32"/>
      <c r="HE33" s="32"/>
      <c r="HF33" s="32"/>
      <c r="HG33" s="32"/>
      <c r="HH33" s="32"/>
      <c r="HI33" s="32"/>
      <c r="HJ33" s="32"/>
      <c r="HK33" s="32"/>
      <c r="HL33" s="32"/>
      <c r="HM33" s="32"/>
      <c r="HN33" s="32"/>
      <c r="HO33" s="32"/>
      <c r="HP33" s="32"/>
      <c r="HQ33" s="32"/>
      <c r="HR33" s="32"/>
      <c r="HS33" s="32"/>
      <c r="HT33" s="32"/>
      <c r="HU33" s="32"/>
      <c r="HV33" s="32"/>
      <c r="HW33" s="32"/>
      <c r="HX33" s="32"/>
      <c r="HY33" s="32"/>
      <c r="HZ33" s="32"/>
      <c r="IA33" s="32"/>
      <c r="IB33" s="32"/>
      <c r="IC33" s="32"/>
      <c r="ID33" s="32"/>
      <c r="IE33" s="32"/>
      <c r="IF33" s="32"/>
      <c r="IG33" s="32"/>
      <c r="IH33" s="32"/>
      <c r="II33" s="32"/>
      <c r="IJ33" s="32"/>
      <c r="IK33" s="32"/>
      <c r="IL33" s="32"/>
      <c r="IM33" s="32"/>
      <c r="IN33" s="32"/>
      <c r="IO33" s="32"/>
      <c r="IP33" s="32"/>
      <c r="IQ33" s="32"/>
      <c r="IR33" s="32"/>
      <c r="IS33" s="32"/>
      <c r="IT33" s="32"/>
      <c r="IU33" s="32"/>
      <c r="IV33" s="32"/>
      <c r="IW33" s="32"/>
      <c r="IX33" s="32"/>
      <c r="IY33" s="32"/>
      <c r="IZ33" s="32"/>
      <c r="JA33" s="32"/>
      <c r="JB33" s="32"/>
      <c r="JC33" s="32"/>
      <c r="JD33" s="32"/>
      <c r="JE33" s="32"/>
      <c r="JF33" s="32"/>
      <c r="JG33" s="32"/>
      <c r="JH33" s="32"/>
      <c r="JI33" s="32"/>
      <c r="JJ33" s="32"/>
      <c r="JK33" s="32"/>
      <c r="JL33" s="32"/>
      <c r="JM33" s="32"/>
      <c r="JN33" s="32"/>
      <c r="JO33" s="32"/>
      <c r="JP33" s="32"/>
      <c r="JQ33" s="32"/>
      <c r="JR33" s="32"/>
      <c r="JS33" s="32"/>
      <c r="JT33" s="32"/>
      <c r="JU33" s="32"/>
      <c r="JV33" s="32"/>
      <c r="JW33" s="32"/>
      <c r="JX33" s="32"/>
      <c r="JY33" s="32"/>
      <c r="JZ33" s="32"/>
      <c r="KA33" s="32"/>
      <c r="KB33" s="32"/>
      <c r="KC33" s="32"/>
      <c r="KD33" s="32"/>
      <c r="KE33" s="32"/>
      <c r="KF33" s="32"/>
      <c r="KG33" s="32"/>
      <c r="KH33" s="32"/>
      <c r="KI33" s="32"/>
      <c r="KJ33" s="32"/>
      <c r="KK33" s="32"/>
      <c r="KL33" s="32"/>
      <c r="KM33" s="32"/>
      <c r="KN33" s="32"/>
      <c r="KO33" s="32"/>
      <c r="KP33" s="32"/>
      <c r="KQ33" s="32"/>
      <c r="KR33" s="32"/>
      <c r="KS33" s="32"/>
      <c r="KT33" s="32"/>
      <c r="KU33" s="32"/>
      <c r="KV33" s="32"/>
      <c r="KW33" s="32"/>
      <c r="KX33" s="32"/>
    </row>
    <row r="34" spans="1:310" s="40" customFormat="1" ht="30" customHeight="1" x14ac:dyDescent="0.25">
      <c r="A34" s="4"/>
      <c r="B34" s="41" t="s">
        <v>63</v>
      </c>
      <c r="C34" s="46"/>
      <c r="D34" s="46" t="s">
        <v>37</v>
      </c>
      <c r="E34" s="43">
        <v>1</v>
      </c>
      <c r="F34" s="44">
        <v>46123</v>
      </c>
      <c r="G34" s="44">
        <v>46129</v>
      </c>
      <c r="H34" s="39"/>
      <c r="I34" s="39"/>
      <c r="J34" s="32"/>
      <c r="K34" s="32"/>
      <c r="L34" s="32"/>
      <c r="M34" s="32"/>
      <c r="N34" s="32"/>
      <c r="O34" s="32"/>
      <c r="P34" s="32"/>
      <c r="Q34" s="32"/>
      <c r="R34" s="32"/>
      <c r="S34" s="32"/>
      <c r="T34" s="32"/>
      <c r="U34" s="32"/>
      <c r="V34" s="32"/>
      <c r="W34" s="32"/>
      <c r="X34" s="32"/>
      <c r="Y34" s="32"/>
      <c r="Z34" s="47"/>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32"/>
      <c r="GR34" s="32"/>
      <c r="GS34" s="32"/>
      <c r="GT34" s="32"/>
      <c r="GU34" s="32"/>
      <c r="GV34" s="32"/>
      <c r="GW34" s="32"/>
      <c r="GX34" s="32"/>
      <c r="GY34" s="32"/>
      <c r="GZ34" s="32"/>
      <c r="HA34" s="32"/>
      <c r="HB34" s="32"/>
      <c r="HC34" s="32"/>
      <c r="HD34" s="32"/>
      <c r="HE34" s="32"/>
      <c r="HF34" s="32"/>
      <c r="HG34" s="32"/>
      <c r="HH34" s="32"/>
      <c r="HI34" s="32"/>
      <c r="HJ34" s="32"/>
      <c r="HK34" s="32"/>
      <c r="HL34" s="32"/>
      <c r="HM34" s="32"/>
      <c r="HN34" s="32"/>
      <c r="HO34" s="32"/>
      <c r="HP34" s="32"/>
      <c r="HQ34" s="32"/>
      <c r="HR34" s="32"/>
      <c r="HS34" s="32"/>
      <c r="HT34" s="32"/>
      <c r="HU34" s="32"/>
      <c r="HV34" s="32"/>
      <c r="HW34" s="32"/>
      <c r="HX34" s="32"/>
      <c r="HY34" s="32"/>
      <c r="HZ34" s="32"/>
      <c r="IA34" s="32"/>
      <c r="IB34" s="32"/>
      <c r="IC34" s="32"/>
      <c r="ID34" s="32"/>
      <c r="IE34" s="32"/>
      <c r="IF34" s="32"/>
      <c r="IG34" s="32"/>
      <c r="IH34" s="32"/>
      <c r="II34" s="32"/>
      <c r="IJ34" s="32"/>
      <c r="IK34" s="32"/>
      <c r="IL34" s="32"/>
      <c r="IM34" s="32"/>
      <c r="IN34" s="32"/>
      <c r="IO34" s="32"/>
      <c r="IP34" s="32"/>
      <c r="IQ34" s="32"/>
      <c r="IR34" s="32"/>
      <c r="IS34" s="32"/>
      <c r="IT34" s="32"/>
      <c r="IU34" s="32"/>
      <c r="IV34" s="32"/>
      <c r="IW34" s="32"/>
      <c r="IX34" s="32"/>
      <c r="IY34" s="32"/>
      <c r="IZ34" s="32"/>
      <c r="JA34" s="32"/>
      <c r="JB34" s="32"/>
      <c r="JC34" s="32"/>
      <c r="JD34" s="32"/>
      <c r="JE34" s="32"/>
      <c r="JF34" s="32"/>
      <c r="JG34" s="32"/>
      <c r="JH34" s="32"/>
      <c r="JI34" s="32"/>
      <c r="JJ34" s="32"/>
      <c r="JK34" s="32"/>
      <c r="JL34" s="32"/>
      <c r="JM34" s="32"/>
      <c r="JN34" s="32"/>
      <c r="JO34" s="32"/>
      <c r="JP34" s="32"/>
      <c r="JQ34" s="32"/>
      <c r="JR34" s="32"/>
      <c r="JS34" s="32"/>
      <c r="JT34" s="32"/>
      <c r="JU34" s="32"/>
      <c r="JV34" s="32"/>
      <c r="JW34" s="32"/>
      <c r="JX34" s="32"/>
      <c r="JY34" s="32"/>
      <c r="JZ34" s="32"/>
      <c r="KA34" s="32"/>
      <c r="KB34" s="32"/>
      <c r="KC34" s="32"/>
      <c r="KD34" s="32"/>
      <c r="KE34" s="32"/>
      <c r="KF34" s="32"/>
      <c r="KG34" s="32"/>
      <c r="KH34" s="32"/>
      <c r="KI34" s="32"/>
      <c r="KJ34" s="32"/>
      <c r="KK34" s="32"/>
      <c r="KL34" s="32"/>
      <c r="KM34" s="32"/>
      <c r="KN34" s="32"/>
      <c r="KO34" s="32"/>
      <c r="KP34" s="32"/>
      <c r="KQ34" s="32"/>
      <c r="KR34" s="32"/>
      <c r="KS34" s="32"/>
      <c r="KT34" s="32"/>
      <c r="KU34" s="32"/>
      <c r="KV34" s="32"/>
      <c r="KW34" s="32"/>
      <c r="KX34" s="32"/>
    </row>
    <row r="35" spans="1:310" s="40" customFormat="1" ht="30" customHeight="1" x14ac:dyDescent="0.25">
      <c r="A35" s="4"/>
      <c r="B35" s="41" t="s">
        <v>64</v>
      </c>
      <c r="C35" s="46"/>
      <c r="D35" s="46" t="s">
        <v>65</v>
      </c>
      <c r="E35" s="43">
        <v>1</v>
      </c>
      <c r="F35" s="44">
        <v>46113</v>
      </c>
      <c r="G35" s="44">
        <v>46130</v>
      </c>
      <c r="H35" s="39"/>
      <c r="I35" s="39"/>
      <c r="J35" s="32"/>
      <c r="K35" s="32"/>
      <c r="L35" s="32"/>
      <c r="M35" s="32"/>
      <c r="N35" s="32"/>
      <c r="O35" s="32"/>
      <c r="P35" s="32"/>
      <c r="Q35" s="32"/>
      <c r="R35" s="32"/>
      <c r="S35" s="32"/>
      <c r="T35" s="32"/>
      <c r="U35" s="32"/>
      <c r="V35" s="32"/>
      <c r="W35" s="32"/>
      <c r="X35" s="32"/>
      <c r="Y35" s="32"/>
      <c r="Z35" s="47"/>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32"/>
      <c r="GR35" s="32"/>
      <c r="GS35" s="32"/>
      <c r="GT35" s="32"/>
      <c r="GU35" s="32"/>
      <c r="GV35" s="32"/>
      <c r="GW35" s="32"/>
      <c r="GX35" s="32"/>
      <c r="GY35" s="32"/>
      <c r="GZ35" s="32"/>
      <c r="HA35" s="32"/>
      <c r="HB35" s="32"/>
      <c r="HC35" s="32"/>
      <c r="HD35" s="32"/>
      <c r="HE35" s="32"/>
      <c r="HF35" s="32"/>
      <c r="HG35" s="32"/>
      <c r="HH35" s="32"/>
      <c r="HI35" s="32"/>
      <c r="HJ35" s="32"/>
      <c r="HK35" s="32"/>
      <c r="HL35" s="32"/>
      <c r="HM35" s="32"/>
      <c r="HN35" s="32"/>
      <c r="HO35" s="32"/>
      <c r="HP35" s="32"/>
      <c r="HQ35" s="32"/>
      <c r="HR35" s="32"/>
      <c r="HS35" s="32"/>
      <c r="HT35" s="32"/>
      <c r="HU35" s="32"/>
      <c r="HV35" s="32"/>
      <c r="HW35" s="32"/>
      <c r="HX35" s="32"/>
      <c r="HY35" s="32"/>
      <c r="HZ35" s="32"/>
      <c r="IA35" s="32"/>
      <c r="IB35" s="32"/>
      <c r="IC35" s="32"/>
      <c r="ID35" s="32"/>
      <c r="IE35" s="32"/>
      <c r="IF35" s="32"/>
      <c r="IG35" s="32"/>
      <c r="IH35" s="32"/>
      <c r="II35" s="32"/>
      <c r="IJ35" s="32"/>
      <c r="IK35" s="32"/>
      <c r="IL35" s="32"/>
      <c r="IM35" s="32"/>
      <c r="IN35" s="32"/>
      <c r="IO35" s="32"/>
      <c r="IP35" s="32"/>
      <c r="IQ35" s="32"/>
      <c r="IR35" s="32"/>
      <c r="IS35" s="32"/>
      <c r="IT35" s="32"/>
      <c r="IU35" s="32"/>
      <c r="IV35" s="32"/>
      <c r="IW35" s="32"/>
      <c r="IX35" s="32"/>
      <c r="IY35" s="32"/>
      <c r="IZ35" s="32"/>
      <c r="JA35" s="32"/>
      <c r="JB35" s="32"/>
      <c r="JC35" s="32"/>
      <c r="JD35" s="32"/>
      <c r="JE35" s="32"/>
      <c r="JF35" s="32"/>
      <c r="JG35" s="32"/>
      <c r="JH35" s="32"/>
      <c r="JI35" s="32"/>
      <c r="JJ35" s="32"/>
      <c r="JK35" s="32"/>
      <c r="JL35" s="32"/>
      <c r="JM35" s="32"/>
      <c r="JN35" s="32"/>
      <c r="JO35" s="32"/>
      <c r="JP35" s="32"/>
      <c r="JQ35" s="32"/>
      <c r="JR35" s="32"/>
      <c r="JS35" s="32"/>
      <c r="JT35" s="32"/>
      <c r="JU35" s="32"/>
      <c r="JV35" s="32"/>
      <c r="JW35" s="32"/>
      <c r="JX35" s="32"/>
      <c r="JY35" s="32"/>
      <c r="JZ35" s="32"/>
      <c r="KA35" s="32"/>
      <c r="KB35" s="32"/>
      <c r="KC35" s="32"/>
      <c r="KD35" s="32"/>
      <c r="KE35" s="32"/>
      <c r="KF35" s="32"/>
      <c r="KG35" s="32"/>
      <c r="KH35" s="32"/>
      <c r="KI35" s="32"/>
      <c r="KJ35" s="32"/>
      <c r="KK35" s="32"/>
      <c r="KL35" s="32"/>
      <c r="KM35" s="32"/>
      <c r="KN35" s="32"/>
      <c r="KO35" s="32"/>
      <c r="KP35" s="32"/>
      <c r="KQ35" s="32"/>
      <c r="KR35" s="32"/>
      <c r="KS35" s="32"/>
      <c r="KT35" s="32"/>
      <c r="KU35" s="32"/>
      <c r="KV35" s="32"/>
      <c r="KW35" s="32"/>
      <c r="KX35" s="32"/>
    </row>
    <row r="36" spans="1:310" s="40" customFormat="1" ht="30" customHeight="1" x14ac:dyDescent="0.25">
      <c r="A36" s="4"/>
      <c r="B36" s="41" t="s">
        <v>66</v>
      </c>
      <c r="C36" s="46"/>
      <c r="D36" s="46" t="s">
        <v>67</v>
      </c>
      <c r="E36" s="43">
        <v>1</v>
      </c>
      <c r="F36" s="44">
        <v>46128</v>
      </c>
      <c r="G36" s="44">
        <v>46128</v>
      </c>
      <c r="H36" s="39"/>
      <c r="I36" s="39"/>
      <c r="J36" s="32"/>
      <c r="K36" s="32"/>
      <c r="L36" s="32"/>
      <c r="M36" s="32"/>
      <c r="N36" s="32"/>
      <c r="O36" s="32"/>
      <c r="P36" s="32"/>
      <c r="Q36" s="32"/>
      <c r="R36" s="32"/>
      <c r="S36" s="32"/>
      <c r="T36" s="32"/>
      <c r="U36" s="32"/>
      <c r="V36" s="32"/>
      <c r="W36" s="32"/>
      <c r="X36" s="32"/>
      <c r="Y36" s="32"/>
      <c r="Z36" s="47"/>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32"/>
      <c r="GR36" s="32"/>
      <c r="GS36" s="32"/>
      <c r="GT36" s="32"/>
      <c r="GU36" s="32"/>
      <c r="GV36" s="32"/>
      <c r="GW36" s="32"/>
      <c r="GX36" s="32"/>
      <c r="GY36" s="32"/>
      <c r="GZ36" s="32"/>
      <c r="HA36" s="32"/>
      <c r="HB36" s="32"/>
      <c r="HC36" s="32"/>
      <c r="HD36" s="32"/>
      <c r="HE36" s="32"/>
      <c r="HF36" s="32"/>
      <c r="HG36" s="32"/>
      <c r="HH36" s="32"/>
      <c r="HI36" s="32"/>
      <c r="HJ36" s="32"/>
      <c r="HK36" s="32"/>
      <c r="HL36" s="32"/>
      <c r="HM36" s="32"/>
      <c r="HN36" s="32"/>
      <c r="HO36" s="32"/>
      <c r="HP36" s="32"/>
      <c r="HQ36" s="32"/>
      <c r="HR36" s="32"/>
      <c r="HS36" s="32"/>
      <c r="HT36" s="32"/>
      <c r="HU36" s="32"/>
      <c r="HV36" s="32"/>
      <c r="HW36" s="32"/>
      <c r="HX36" s="32"/>
      <c r="HY36" s="32"/>
      <c r="HZ36" s="32"/>
      <c r="IA36" s="32"/>
      <c r="IB36" s="32"/>
      <c r="IC36" s="32"/>
      <c r="ID36" s="32"/>
      <c r="IE36" s="32"/>
      <c r="IF36" s="32"/>
      <c r="IG36" s="32"/>
      <c r="IH36" s="32"/>
      <c r="II36" s="32"/>
      <c r="IJ36" s="32"/>
      <c r="IK36" s="32"/>
      <c r="IL36" s="32"/>
      <c r="IM36" s="32"/>
      <c r="IN36" s="32"/>
      <c r="IO36" s="32"/>
      <c r="IP36" s="32"/>
      <c r="IQ36" s="32"/>
      <c r="IR36" s="32"/>
      <c r="IS36" s="32"/>
      <c r="IT36" s="32"/>
      <c r="IU36" s="32"/>
      <c r="IV36" s="32"/>
      <c r="IW36" s="32"/>
      <c r="IX36" s="32"/>
      <c r="IY36" s="32"/>
      <c r="IZ36" s="32"/>
      <c r="JA36" s="32"/>
      <c r="JB36" s="32"/>
      <c r="JC36" s="32"/>
      <c r="JD36" s="32"/>
      <c r="JE36" s="32"/>
      <c r="JF36" s="32"/>
      <c r="JG36" s="32"/>
      <c r="JH36" s="32"/>
      <c r="JI36" s="32"/>
      <c r="JJ36" s="32"/>
      <c r="JK36" s="32"/>
      <c r="JL36" s="32"/>
      <c r="JM36" s="32"/>
      <c r="JN36" s="32"/>
      <c r="JO36" s="32"/>
      <c r="JP36" s="32"/>
      <c r="JQ36" s="32"/>
      <c r="JR36" s="32"/>
      <c r="JS36" s="32"/>
      <c r="JT36" s="32"/>
      <c r="JU36" s="32"/>
      <c r="JV36" s="32"/>
      <c r="JW36" s="32"/>
      <c r="JX36" s="32"/>
      <c r="JY36" s="32"/>
      <c r="JZ36" s="32"/>
      <c r="KA36" s="32"/>
      <c r="KB36" s="32"/>
      <c r="KC36" s="32"/>
      <c r="KD36" s="32"/>
      <c r="KE36" s="32"/>
      <c r="KF36" s="32"/>
      <c r="KG36" s="32"/>
      <c r="KH36" s="32"/>
      <c r="KI36" s="32"/>
      <c r="KJ36" s="32"/>
      <c r="KK36" s="32"/>
      <c r="KL36" s="32"/>
      <c r="KM36" s="32"/>
      <c r="KN36" s="32"/>
      <c r="KO36" s="32"/>
      <c r="KP36" s="32"/>
      <c r="KQ36" s="32"/>
      <c r="KR36" s="32"/>
      <c r="KS36" s="32"/>
      <c r="KT36" s="32"/>
      <c r="KU36" s="32"/>
      <c r="KV36" s="32"/>
      <c r="KW36" s="32"/>
      <c r="KX36" s="32"/>
    </row>
    <row r="37" spans="1:310" s="40" customFormat="1" ht="30" customHeight="1" x14ac:dyDescent="0.25">
      <c r="A37" s="4"/>
      <c r="B37" s="41" t="s">
        <v>68</v>
      </c>
      <c r="C37" s="46"/>
      <c r="D37" s="46" t="s">
        <v>24</v>
      </c>
      <c r="E37" s="43">
        <v>1</v>
      </c>
      <c r="F37" s="44">
        <v>46128</v>
      </c>
      <c r="G37" s="44">
        <v>46131</v>
      </c>
      <c r="H37" s="39"/>
      <c r="I37" s="39"/>
      <c r="J37" s="32"/>
      <c r="K37" s="32"/>
      <c r="L37" s="32"/>
      <c r="M37" s="32"/>
      <c r="N37" s="32"/>
      <c r="O37" s="32"/>
      <c r="P37" s="32"/>
      <c r="Q37" s="32"/>
      <c r="R37" s="32"/>
      <c r="S37" s="32"/>
      <c r="T37" s="32"/>
      <c r="U37" s="32"/>
      <c r="V37" s="32"/>
      <c r="W37" s="32"/>
      <c r="X37" s="32"/>
      <c r="Y37" s="32"/>
      <c r="Z37" s="47"/>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32"/>
      <c r="GR37" s="32"/>
      <c r="GS37" s="32"/>
      <c r="GT37" s="32"/>
      <c r="GU37" s="32"/>
      <c r="GV37" s="32"/>
      <c r="GW37" s="32"/>
      <c r="GX37" s="32"/>
      <c r="GY37" s="32"/>
      <c r="GZ37" s="32"/>
      <c r="HA37" s="32"/>
      <c r="HB37" s="32"/>
      <c r="HC37" s="32"/>
      <c r="HD37" s="32"/>
      <c r="HE37" s="32"/>
      <c r="HF37" s="32"/>
      <c r="HG37" s="32"/>
      <c r="HH37" s="32"/>
      <c r="HI37" s="32"/>
      <c r="HJ37" s="32"/>
      <c r="HK37" s="32"/>
      <c r="HL37" s="32"/>
      <c r="HM37" s="32"/>
      <c r="HN37" s="32"/>
      <c r="HO37" s="32"/>
      <c r="HP37" s="32"/>
      <c r="HQ37" s="32"/>
      <c r="HR37" s="32"/>
      <c r="HS37" s="32"/>
      <c r="HT37" s="32"/>
      <c r="HU37" s="32"/>
      <c r="HV37" s="32"/>
      <c r="HW37" s="32"/>
      <c r="HX37" s="32"/>
      <c r="HY37" s="32"/>
      <c r="HZ37" s="32"/>
      <c r="IA37" s="32"/>
      <c r="IB37" s="32"/>
      <c r="IC37" s="32"/>
      <c r="ID37" s="32"/>
      <c r="IE37" s="32"/>
      <c r="IF37" s="32"/>
      <c r="IG37" s="32"/>
      <c r="IH37" s="32"/>
      <c r="II37" s="32"/>
      <c r="IJ37" s="32"/>
      <c r="IK37" s="32"/>
      <c r="IL37" s="32"/>
      <c r="IM37" s="32"/>
      <c r="IN37" s="32"/>
      <c r="IO37" s="32"/>
      <c r="IP37" s="32"/>
      <c r="IQ37" s="32"/>
      <c r="IR37" s="32"/>
      <c r="IS37" s="32"/>
      <c r="IT37" s="32"/>
      <c r="IU37" s="32"/>
      <c r="IV37" s="32"/>
      <c r="IW37" s="32"/>
      <c r="IX37" s="32"/>
      <c r="IY37" s="32"/>
      <c r="IZ37" s="32"/>
      <c r="JA37" s="32"/>
      <c r="JB37" s="32"/>
      <c r="JC37" s="32"/>
      <c r="JD37" s="32"/>
      <c r="JE37" s="32"/>
      <c r="JF37" s="32"/>
      <c r="JG37" s="32"/>
      <c r="JH37" s="32"/>
      <c r="JI37" s="32"/>
      <c r="JJ37" s="32"/>
      <c r="JK37" s="32"/>
      <c r="JL37" s="32"/>
      <c r="JM37" s="32"/>
      <c r="JN37" s="32"/>
      <c r="JO37" s="32"/>
      <c r="JP37" s="32"/>
      <c r="JQ37" s="32"/>
      <c r="JR37" s="32"/>
      <c r="JS37" s="32"/>
      <c r="JT37" s="32"/>
      <c r="JU37" s="32"/>
      <c r="JV37" s="32"/>
      <c r="JW37" s="32"/>
      <c r="JX37" s="32"/>
      <c r="JY37" s="32"/>
      <c r="JZ37" s="32"/>
      <c r="KA37" s="32"/>
      <c r="KB37" s="32"/>
      <c r="KC37" s="32"/>
      <c r="KD37" s="32"/>
      <c r="KE37" s="32"/>
      <c r="KF37" s="32"/>
      <c r="KG37" s="32"/>
      <c r="KH37" s="32"/>
      <c r="KI37" s="32"/>
      <c r="KJ37" s="32"/>
      <c r="KK37" s="32"/>
      <c r="KL37" s="32"/>
      <c r="KM37" s="32"/>
      <c r="KN37" s="32"/>
      <c r="KO37" s="32"/>
      <c r="KP37" s="32"/>
      <c r="KQ37" s="32"/>
      <c r="KR37" s="32"/>
      <c r="KS37" s="32"/>
      <c r="KT37" s="32"/>
      <c r="KU37" s="32"/>
      <c r="KV37" s="32"/>
      <c r="KW37" s="32"/>
      <c r="KX37" s="32"/>
    </row>
    <row r="38" spans="1:310" s="40" customFormat="1" ht="30" customHeight="1" x14ac:dyDescent="0.25">
      <c r="A38" s="4"/>
      <c r="B38" s="41" t="s">
        <v>69</v>
      </c>
      <c r="C38" s="46"/>
      <c r="D38" s="46" t="s">
        <v>24</v>
      </c>
      <c r="E38" s="43">
        <v>1</v>
      </c>
      <c r="F38" s="44">
        <v>46131</v>
      </c>
      <c r="G38" s="44">
        <v>46131</v>
      </c>
      <c r="H38" s="39"/>
      <c r="I38" s="39"/>
      <c r="J38" s="32"/>
      <c r="K38" s="32"/>
      <c r="L38" s="32"/>
      <c r="M38" s="32"/>
      <c r="N38" s="32"/>
      <c r="O38" s="32"/>
      <c r="P38" s="32"/>
      <c r="Q38" s="32"/>
      <c r="R38" s="32"/>
      <c r="S38" s="32"/>
      <c r="T38" s="32"/>
      <c r="U38" s="32"/>
      <c r="V38" s="32"/>
      <c r="W38" s="32"/>
      <c r="X38" s="32"/>
      <c r="Y38" s="32"/>
      <c r="Z38" s="47"/>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32"/>
      <c r="GR38" s="32"/>
      <c r="GS38" s="32"/>
      <c r="GT38" s="32"/>
      <c r="GU38" s="32"/>
      <c r="GV38" s="32"/>
      <c r="GW38" s="32"/>
      <c r="GX38" s="32"/>
      <c r="GY38" s="32"/>
      <c r="GZ38" s="32"/>
      <c r="HA38" s="32"/>
      <c r="HB38" s="32"/>
      <c r="HC38" s="32"/>
      <c r="HD38" s="32"/>
      <c r="HE38" s="32"/>
      <c r="HF38" s="32"/>
      <c r="HG38" s="32"/>
      <c r="HH38" s="32"/>
      <c r="HI38" s="32"/>
      <c r="HJ38" s="32"/>
      <c r="HK38" s="32"/>
      <c r="HL38" s="32"/>
      <c r="HM38" s="32"/>
      <c r="HN38" s="32"/>
      <c r="HO38" s="32"/>
      <c r="HP38" s="32"/>
      <c r="HQ38" s="32"/>
      <c r="HR38" s="32"/>
      <c r="HS38" s="32"/>
      <c r="HT38" s="32"/>
      <c r="HU38" s="32"/>
      <c r="HV38" s="32"/>
      <c r="HW38" s="32"/>
      <c r="HX38" s="32"/>
      <c r="HY38" s="32"/>
      <c r="HZ38" s="32"/>
      <c r="IA38" s="32"/>
      <c r="IB38" s="32"/>
      <c r="IC38" s="32"/>
      <c r="ID38" s="32"/>
      <c r="IE38" s="32"/>
      <c r="IF38" s="32"/>
      <c r="IG38" s="32"/>
      <c r="IH38" s="32"/>
      <c r="II38" s="32"/>
      <c r="IJ38" s="32"/>
      <c r="IK38" s="32"/>
      <c r="IL38" s="32"/>
      <c r="IM38" s="32"/>
      <c r="IN38" s="32"/>
      <c r="IO38" s="32"/>
      <c r="IP38" s="32"/>
      <c r="IQ38" s="32"/>
      <c r="IR38" s="32"/>
      <c r="IS38" s="32"/>
      <c r="IT38" s="32"/>
      <c r="IU38" s="32"/>
      <c r="IV38" s="32"/>
      <c r="IW38" s="32"/>
      <c r="IX38" s="32"/>
      <c r="IY38" s="32"/>
      <c r="IZ38" s="32"/>
      <c r="JA38" s="32"/>
      <c r="JB38" s="32"/>
      <c r="JC38" s="32"/>
      <c r="JD38" s="32"/>
      <c r="JE38" s="32"/>
      <c r="JF38" s="32"/>
      <c r="JG38" s="32"/>
      <c r="JH38" s="32"/>
      <c r="JI38" s="32"/>
      <c r="JJ38" s="32"/>
      <c r="JK38" s="32"/>
      <c r="JL38" s="32"/>
      <c r="JM38" s="32"/>
      <c r="JN38" s="32"/>
      <c r="JO38" s="32"/>
      <c r="JP38" s="32"/>
      <c r="JQ38" s="32"/>
      <c r="JR38" s="32"/>
      <c r="JS38" s="32"/>
      <c r="JT38" s="32"/>
      <c r="JU38" s="32"/>
      <c r="JV38" s="32"/>
      <c r="JW38" s="32"/>
      <c r="JX38" s="32"/>
      <c r="JY38" s="32"/>
      <c r="JZ38" s="32"/>
      <c r="KA38" s="32"/>
      <c r="KB38" s="32"/>
      <c r="KC38" s="32"/>
      <c r="KD38" s="32"/>
      <c r="KE38" s="32"/>
      <c r="KF38" s="32"/>
      <c r="KG38" s="32"/>
      <c r="KH38" s="32"/>
      <c r="KI38" s="32"/>
      <c r="KJ38" s="32"/>
      <c r="KK38" s="32"/>
      <c r="KL38" s="32"/>
      <c r="KM38" s="32"/>
      <c r="KN38" s="32"/>
      <c r="KO38" s="32"/>
      <c r="KP38" s="32"/>
      <c r="KQ38" s="32"/>
      <c r="KR38" s="32"/>
      <c r="KS38" s="32"/>
      <c r="KT38" s="32"/>
      <c r="KU38" s="32"/>
      <c r="KV38" s="32"/>
      <c r="KW38" s="32"/>
      <c r="KX38" s="32"/>
    </row>
    <row r="39" spans="1:310" s="40" customFormat="1" ht="30" customHeight="1" x14ac:dyDescent="0.25">
      <c r="A39" s="4"/>
      <c r="B39" s="41" t="s">
        <v>70</v>
      </c>
      <c r="C39" s="46"/>
      <c r="D39" s="46" t="s">
        <v>71</v>
      </c>
      <c r="E39" s="43">
        <v>1</v>
      </c>
      <c r="F39" s="44">
        <v>46132</v>
      </c>
      <c r="G39" s="44">
        <v>46133</v>
      </c>
      <c r="H39" s="39"/>
      <c r="I39" s="39"/>
      <c r="J39" s="32"/>
      <c r="K39" s="32"/>
      <c r="L39" s="32"/>
      <c r="M39" s="32"/>
      <c r="N39" s="32"/>
      <c r="O39" s="32"/>
      <c r="P39" s="32"/>
      <c r="Q39" s="32"/>
      <c r="R39" s="32"/>
      <c r="S39" s="32"/>
      <c r="T39" s="32"/>
      <c r="U39" s="32"/>
      <c r="V39" s="32"/>
      <c r="W39" s="32"/>
      <c r="X39" s="32"/>
      <c r="Y39" s="32"/>
      <c r="Z39" s="47"/>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32"/>
      <c r="GR39" s="32"/>
      <c r="GS39" s="32"/>
      <c r="GT39" s="32"/>
      <c r="GU39" s="32"/>
      <c r="GV39" s="32"/>
      <c r="GW39" s="32"/>
      <c r="GX39" s="32"/>
      <c r="GY39" s="32"/>
      <c r="GZ39" s="32"/>
      <c r="HA39" s="32"/>
      <c r="HB39" s="32"/>
      <c r="HC39" s="32"/>
      <c r="HD39" s="32"/>
      <c r="HE39" s="32"/>
      <c r="HF39" s="32"/>
      <c r="HG39" s="32"/>
      <c r="HH39" s="32"/>
      <c r="HI39" s="32"/>
      <c r="HJ39" s="32"/>
      <c r="HK39" s="32"/>
      <c r="HL39" s="32"/>
      <c r="HM39" s="32"/>
      <c r="HN39" s="32"/>
      <c r="HO39" s="32"/>
      <c r="HP39" s="32"/>
      <c r="HQ39" s="32"/>
      <c r="HR39" s="32"/>
      <c r="HS39" s="32"/>
      <c r="HT39" s="32"/>
      <c r="HU39" s="32"/>
      <c r="HV39" s="32"/>
      <c r="HW39" s="32"/>
      <c r="HX39" s="32"/>
      <c r="HY39" s="32"/>
      <c r="HZ39" s="32"/>
      <c r="IA39" s="32"/>
      <c r="IB39" s="32"/>
      <c r="IC39" s="32"/>
      <c r="ID39" s="32"/>
      <c r="IE39" s="32"/>
      <c r="IF39" s="32"/>
      <c r="IG39" s="32"/>
      <c r="IH39" s="32"/>
      <c r="II39" s="32"/>
      <c r="IJ39" s="32"/>
      <c r="IK39" s="32"/>
      <c r="IL39" s="32"/>
      <c r="IM39" s="32"/>
      <c r="IN39" s="32"/>
      <c r="IO39" s="32"/>
      <c r="IP39" s="32"/>
      <c r="IQ39" s="32"/>
      <c r="IR39" s="32"/>
      <c r="IS39" s="32"/>
      <c r="IT39" s="32"/>
      <c r="IU39" s="32"/>
      <c r="IV39" s="32"/>
      <c r="IW39" s="32"/>
      <c r="IX39" s="32"/>
      <c r="IY39" s="32"/>
      <c r="IZ39" s="32"/>
      <c r="JA39" s="32"/>
      <c r="JB39" s="32"/>
      <c r="JC39" s="32"/>
      <c r="JD39" s="32"/>
      <c r="JE39" s="32"/>
      <c r="JF39" s="32"/>
      <c r="JG39" s="32"/>
      <c r="JH39" s="32"/>
      <c r="JI39" s="32"/>
      <c r="JJ39" s="32"/>
      <c r="JK39" s="32"/>
      <c r="JL39" s="32"/>
      <c r="JM39" s="32"/>
      <c r="JN39" s="32"/>
      <c r="JO39" s="32"/>
      <c r="JP39" s="32"/>
      <c r="JQ39" s="32"/>
      <c r="JR39" s="32"/>
      <c r="JS39" s="32"/>
      <c r="JT39" s="32"/>
      <c r="JU39" s="32"/>
      <c r="JV39" s="32"/>
      <c r="JW39" s="32"/>
      <c r="JX39" s="32"/>
      <c r="JY39" s="32"/>
      <c r="JZ39" s="32"/>
      <c r="KA39" s="32"/>
      <c r="KB39" s="32"/>
      <c r="KC39" s="32"/>
      <c r="KD39" s="32"/>
      <c r="KE39" s="32"/>
      <c r="KF39" s="32"/>
      <c r="KG39" s="32"/>
      <c r="KH39" s="32"/>
      <c r="KI39" s="32"/>
      <c r="KJ39" s="32"/>
      <c r="KK39" s="32"/>
      <c r="KL39" s="32"/>
      <c r="KM39" s="32"/>
      <c r="KN39" s="32"/>
      <c r="KO39" s="32"/>
      <c r="KP39" s="32"/>
      <c r="KQ39" s="32"/>
      <c r="KR39" s="32"/>
      <c r="KS39" s="32"/>
      <c r="KT39" s="32"/>
      <c r="KU39" s="32"/>
      <c r="KV39" s="32"/>
      <c r="KW39" s="32"/>
      <c r="KX39" s="32"/>
    </row>
    <row r="40" spans="1:310" s="40" customFormat="1" ht="30" customHeight="1" x14ac:dyDescent="0.25">
      <c r="A40" s="4"/>
      <c r="B40" s="41" t="s">
        <v>72</v>
      </c>
      <c r="C40" s="46"/>
      <c r="D40" s="46" t="s">
        <v>27</v>
      </c>
      <c r="E40" s="43">
        <v>1</v>
      </c>
      <c r="F40" s="44">
        <v>46134</v>
      </c>
      <c r="G40" s="44">
        <v>46134</v>
      </c>
      <c r="H40" s="39"/>
      <c r="I40" s="39">
        <f>IF(OR(ISBLANK(task_start),ISBLANK(task_end)),"",task_end-task_start+1)</f>
        <v>1</v>
      </c>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32"/>
      <c r="GR40" s="32"/>
      <c r="GS40" s="32"/>
      <c r="GT40" s="32"/>
      <c r="GU40" s="32"/>
      <c r="GV40" s="32"/>
      <c r="GW40" s="32"/>
      <c r="GX40" s="32"/>
      <c r="GY40" s="32"/>
      <c r="GZ40" s="32"/>
      <c r="HA40" s="32"/>
      <c r="HB40" s="32"/>
      <c r="HC40" s="32"/>
      <c r="HD40" s="32"/>
      <c r="HE40" s="32"/>
      <c r="HF40" s="32"/>
      <c r="HG40" s="32"/>
      <c r="HH40" s="32"/>
      <c r="HI40" s="32"/>
      <c r="HJ40" s="32"/>
      <c r="HK40" s="32"/>
      <c r="HL40" s="32"/>
      <c r="HM40" s="32"/>
      <c r="HN40" s="32"/>
      <c r="HO40" s="32"/>
      <c r="HP40" s="32"/>
      <c r="HQ40" s="32"/>
      <c r="HR40" s="32"/>
      <c r="HS40" s="32"/>
      <c r="HT40" s="32"/>
      <c r="HU40" s="32"/>
      <c r="HV40" s="32"/>
      <c r="HW40" s="32"/>
      <c r="HX40" s="32"/>
      <c r="HY40" s="32"/>
      <c r="HZ40" s="32"/>
      <c r="IA40" s="32"/>
      <c r="IB40" s="32"/>
      <c r="IC40" s="32"/>
      <c r="ID40" s="32"/>
      <c r="IE40" s="32"/>
      <c r="IF40" s="32"/>
      <c r="IG40" s="32"/>
      <c r="IH40" s="32"/>
      <c r="II40" s="32"/>
      <c r="IJ40" s="32"/>
      <c r="IK40" s="32"/>
      <c r="IL40" s="32"/>
      <c r="IM40" s="32"/>
      <c r="IN40" s="32"/>
      <c r="IO40" s="32"/>
      <c r="IP40" s="32"/>
      <c r="IQ40" s="32"/>
      <c r="IR40" s="32"/>
      <c r="IS40" s="32"/>
      <c r="IT40" s="32"/>
      <c r="IU40" s="32"/>
      <c r="IV40" s="32"/>
      <c r="IW40" s="32"/>
      <c r="IX40" s="32"/>
      <c r="IY40" s="32"/>
      <c r="IZ40" s="32"/>
      <c r="JA40" s="32"/>
      <c r="JB40" s="32"/>
      <c r="JC40" s="32"/>
      <c r="JD40" s="32"/>
      <c r="JE40" s="32"/>
      <c r="JF40" s="32"/>
      <c r="JG40" s="32"/>
      <c r="JH40" s="32"/>
      <c r="JI40" s="32"/>
      <c r="JJ40" s="32"/>
      <c r="JK40" s="32"/>
      <c r="JL40" s="32"/>
      <c r="JM40" s="32"/>
      <c r="JN40" s="32"/>
      <c r="JO40" s="32"/>
      <c r="JP40" s="32"/>
      <c r="JQ40" s="32"/>
      <c r="JR40" s="32"/>
      <c r="JS40" s="32"/>
      <c r="JT40" s="32"/>
      <c r="JU40" s="32"/>
      <c r="JV40" s="32"/>
      <c r="JW40" s="32"/>
      <c r="JX40" s="32"/>
      <c r="JY40" s="32"/>
      <c r="JZ40" s="32"/>
      <c r="KA40" s="32"/>
      <c r="KB40" s="32"/>
      <c r="KC40" s="32"/>
      <c r="KD40" s="32"/>
      <c r="KE40" s="32"/>
      <c r="KF40" s="32"/>
      <c r="KG40" s="32"/>
      <c r="KH40" s="32"/>
      <c r="KI40" s="32"/>
      <c r="KJ40" s="32"/>
      <c r="KK40" s="32"/>
      <c r="KL40" s="32"/>
      <c r="KM40" s="32"/>
      <c r="KN40" s="32"/>
      <c r="KO40" s="32"/>
      <c r="KP40" s="32"/>
      <c r="KQ40" s="32"/>
      <c r="KR40" s="32"/>
      <c r="KS40" s="32"/>
      <c r="KT40" s="32"/>
      <c r="KU40" s="32"/>
      <c r="KV40" s="32"/>
      <c r="KW40" s="32"/>
      <c r="KX40" s="32"/>
    </row>
    <row r="41" spans="1:310" s="40" customFormat="1" ht="30" customHeight="1" x14ac:dyDescent="0.25">
      <c r="A41" s="6" t="s">
        <v>73</v>
      </c>
      <c r="B41" s="48" t="s">
        <v>74</v>
      </c>
      <c r="C41" s="49"/>
      <c r="D41" s="50"/>
      <c r="E41" s="51"/>
      <c r="F41" s="52"/>
      <c r="G41" s="53"/>
      <c r="H41" s="39"/>
      <c r="I41" s="39" t="str">
        <f>IF(OR(ISBLANK(task_start),ISBLANK(task_end)),"",task_end-task_start+1)</f>
        <v/>
      </c>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32"/>
      <c r="GR41" s="32"/>
      <c r="GS41" s="32"/>
      <c r="GT41" s="32"/>
      <c r="GU41" s="32"/>
      <c r="GV41" s="32"/>
      <c r="GW41" s="32"/>
      <c r="GX41" s="32"/>
      <c r="GY41" s="32"/>
      <c r="GZ41" s="32"/>
      <c r="HA41" s="32"/>
      <c r="HB41" s="32"/>
      <c r="HC41" s="32"/>
      <c r="HD41" s="32"/>
      <c r="HE41" s="32"/>
      <c r="HF41" s="32"/>
      <c r="HG41" s="32"/>
      <c r="HH41" s="32"/>
      <c r="HI41" s="32"/>
      <c r="HJ41" s="32"/>
      <c r="HK41" s="32"/>
      <c r="HL41" s="32"/>
      <c r="HM41" s="32"/>
      <c r="HN41" s="32"/>
      <c r="HO41" s="32"/>
      <c r="HP41" s="32"/>
      <c r="HQ41" s="32"/>
      <c r="HR41" s="32"/>
      <c r="HS41" s="32"/>
      <c r="HT41" s="32"/>
      <c r="HU41" s="32"/>
      <c r="HV41" s="32"/>
      <c r="HW41" s="32"/>
      <c r="HX41" s="32"/>
      <c r="HY41" s="32"/>
      <c r="HZ41" s="32"/>
      <c r="IA41" s="32"/>
      <c r="IB41" s="32"/>
      <c r="IC41" s="32"/>
      <c r="ID41" s="32"/>
      <c r="IE41" s="32"/>
      <c r="IF41" s="32"/>
      <c r="IG41" s="32"/>
      <c r="IH41" s="32"/>
      <c r="II41" s="32"/>
      <c r="IJ41" s="32"/>
      <c r="IK41" s="32"/>
      <c r="IL41" s="32"/>
      <c r="IM41" s="32"/>
      <c r="IN41" s="32"/>
      <c r="IO41" s="32"/>
      <c r="IP41" s="32"/>
      <c r="IQ41" s="32"/>
      <c r="IR41" s="32"/>
      <c r="IS41" s="32"/>
      <c r="IT41" s="32"/>
      <c r="IU41" s="32"/>
      <c r="IV41" s="32"/>
      <c r="IW41" s="32"/>
      <c r="IX41" s="32"/>
      <c r="IY41" s="32"/>
      <c r="IZ41" s="32"/>
      <c r="JA41" s="32"/>
      <c r="JB41" s="32"/>
      <c r="JC41" s="32"/>
      <c r="JD41" s="32"/>
      <c r="JE41" s="32"/>
      <c r="JF41" s="32"/>
      <c r="JG41" s="32"/>
      <c r="JH41" s="32"/>
      <c r="JI41" s="32"/>
      <c r="JJ41" s="32"/>
      <c r="JK41" s="32"/>
      <c r="JL41" s="32"/>
      <c r="JM41" s="32"/>
      <c r="JN41" s="32"/>
      <c r="JO41" s="32"/>
      <c r="JP41" s="32"/>
      <c r="JQ41" s="32"/>
      <c r="JR41" s="32"/>
      <c r="JS41" s="32"/>
      <c r="JT41" s="32"/>
      <c r="JU41" s="32"/>
      <c r="JV41" s="32"/>
      <c r="JW41" s="32"/>
      <c r="JX41" s="32"/>
      <c r="JY41" s="32"/>
      <c r="JZ41" s="32"/>
      <c r="KA41" s="32"/>
      <c r="KB41" s="32"/>
      <c r="KC41" s="32"/>
      <c r="KD41" s="32"/>
      <c r="KE41" s="32"/>
      <c r="KF41" s="32"/>
      <c r="KG41" s="32"/>
      <c r="KH41" s="32"/>
      <c r="KI41" s="32"/>
      <c r="KJ41" s="32"/>
      <c r="KK41" s="32"/>
      <c r="KL41" s="32"/>
      <c r="KM41" s="32"/>
      <c r="KN41" s="32"/>
      <c r="KO41" s="32"/>
      <c r="KP41" s="32"/>
      <c r="KQ41" s="32"/>
      <c r="KR41" s="32"/>
      <c r="KS41" s="32"/>
      <c r="KT41" s="32"/>
      <c r="KU41" s="32"/>
      <c r="KV41" s="32"/>
      <c r="KW41" s="32"/>
      <c r="KX41" s="32"/>
    </row>
    <row r="42" spans="1:310" s="40" customFormat="1" ht="30" customHeight="1" x14ac:dyDescent="0.25">
      <c r="A42" s="6"/>
      <c r="B42" s="54" t="s">
        <v>75</v>
      </c>
      <c r="C42" s="55" t="s">
        <v>76</v>
      </c>
      <c r="D42" s="55" t="s">
        <v>77</v>
      </c>
      <c r="E42" s="56">
        <v>1</v>
      </c>
      <c r="F42" s="57">
        <v>46152</v>
      </c>
      <c r="G42" s="57">
        <v>46175</v>
      </c>
      <c r="H42" s="39"/>
      <c r="I42" s="39">
        <f>IF(OR(ISBLANK(task_start),ISBLANK(task_end)),"",task_end-task_start+1)</f>
        <v>24</v>
      </c>
      <c r="J42" s="32"/>
      <c r="K42" s="32"/>
      <c r="L42" s="32"/>
      <c r="M42" s="32"/>
      <c r="N42" s="32"/>
      <c r="O42" s="32"/>
      <c r="P42" s="32"/>
      <c r="Q42" s="32"/>
      <c r="R42" s="32"/>
      <c r="S42" s="32"/>
      <c r="T42" s="32"/>
      <c r="U42" s="32"/>
      <c r="V42" s="47"/>
      <c r="W42" s="47"/>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45"/>
      <c r="BT42" s="45"/>
      <c r="BU42" s="32"/>
      <c r="BV42" s="45"/>
      <c r="BW42" s="45"/>
      <c r="BX42" s="45"/>
      <c r="BY42" s="45"/>
      <c r="BZ42" s="45"/>
      <c r="CA42" s="45"/>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32"/>
      <c r="GR42" s="32"/>
      <c r="GS42" s="32"/>
      <c r="GT42" s="32"/>
      <c r="GU42" s="32"/>
      <c r="GV42" s="32"/>
      <c r="GW42" s="32"/>
      <c r="GX42" s="32"/>
      <c r="GY42" s="32"/>
      <c r="GZ42" s="32"/>
      <c r="HA42" s="32"/>
      <c r="HB42" s="32"/>
      <c r="HC42" s="32"/>
      <c r="HD42" s="32"/>
      <c r="HE42" s="32"/>
      <c r="HF42" s="32"/>
      <c r="HG42" s="32"/>
      <c r="HH42" s="32"/>
      <c r="HI42" s="32"/>
      <c r="HJ42" s="32"/>
      <c r="HK42" s="32"/>
      <c r="HL42" s="32"/>
      <c r="HM42" s="32"/>
      <c r="HN42" s="32"/>
      <c r="HO42" s="32"/>
      <c r="HP42" s="32"/>
      <c r="HQ42" s="32"/>
      <c r="HR42" s="32"/>
      <c r="HS42" s="32"/>
      <c r="HT42" s="32"/>
      <c r="HU42" s="32"/>
      <c r="HV42" s="32"/>
      <c r="HW42" s="32"/>
      <c r="HX42" s="32"/>
      <c r="HY42" s="32"/>
      <c r="HZ42" s="32"/>
      <c r="IA42" s="32"/>
      <c r="IB42" s="32"/>
      <c r="IC42" s="32"/>
      <c r="ID42" s="32"/>
      <c r="IE42" s="32"/>
      <c r="IF42" s="32"/>
      <c r="IG42" s="32"/>
      <c r="IH42" s="32"/>
      <c r="II42" s="32"/>
      <c r="IJ42" s="32"/>
      <c r="IK42" s="32"/>
      <c r="IL42" s="32"/>
      <c r="IM42" s="32"/>
      <c r="IN42" s="32"/>
      <c r="IO42" s="32"/>
      <c r="IP42" s="32"/>
      <c r="IQ42" s="32"/>
      <c r="IR42" s="32"/>
      <c r="IS42" s="32"/>
      <c r="IT42" s="32"/>
      <c r="IU42" s="32"/>
      <c r="IV42" s="32"/>
      <c r="IW42" s="32"/>
      <c r="IX42" s="32"/>
      <c r="IY42" s="32"/>
      <c r="IZ42" s="32"/>
      <c r="JA42" s="32"/>
      <c r="JB42" s="32"/>
      <c r="JC42" s="32"/>
      <c r="JD42" s="32"/>
      <c r="JE42" s="32"/>
      <c r="JF42" s="32"/>
      <c r="JG42" s="32"/>
      <c r="JH42" s="32"/>
      <c r="JI42" s="32"/>
      <c r="JJ42" s="32"/>
      <c r="JK42" s="32"/>
      <c r="JL42" s="32"/>
      <c r="JM42" s="32"/>
      <c r="JN42" s="32"/>
      <c r="JO42" s="32"/>
      <c r="JP42" s="32"/>
      <c r="JQ42" s="32"/>
      <c r="JR42" s="32"/>
      <c r="JS42" s="32"/>
      <c r="JT42" s="32"/>
      <c r="JU42" s="32"/>
      <c r="JV42" s="32"/>
      <c r="JW42" s="32"/>
      <c r="JX42" s="32"/>
      <c r="JY42" s="32"/>
      <c r="JZ42" s="32"/>
      <c r="KA42" s="32"/>
      <c r="KB42" s="32"/>
      <c r="KC42" s="32"/>
      <c r="KD42" s="32"/>
      <c r="KE42" s="32"/>
      <c r="KF42" s="32"/>
      <c r="KG42" s="32"/>
      <c r="KH42" s="32"/>
      <c r="KI42" s="32"/>
      <c r="KJ42" s="32"/>
      <c r="KK42" s="32"/>
      <c r="KL42" s="32"/>
      <c r="KM42" s="32"/>
      <c r="KN42" s="32"/>
      <c r="KO42" s="32"/>
      <c r="KP42" s="32"/>
      <c r="KQ42" s="32"/>
      <c r="KR42" s="32"/>
      <c r="KS42" s="32"/>
      <c r="KT42" s="32"/>
      <c r="KU42" s="32"/>
      <c r="KV42" s="32"/>
      <c r="KW42" s="32"/>
      <c r="KX42" s="32"/>
    </row>
    <row r="43" spans="1:310" s="40" customFormat="1" ht="30" customHeight="1" x14ac:dyDescent="0.25">
      <c r="A43" s="4"/>
      <c r="B43" s="54" t="s">
        <v>78</v>
      </c>
      <c r="C43" s="55" t="s">
        <v>76</v>
      </c>
      <c r="D43" s="55" t="s">
        <v>77</v>
      </c>
      <c r="E43" s="56">
        <v>1</v>
      </c>
      <c r="F43" s="57">
        <v>46161</v>
      </c>
      <c r="G43" s="57">
        <v>46176</v>
      </c>
      <c r="H43" s="39"/>
      <c r="I43" s="39">
        <f>IF(OR(ISBLANK(task_start),ISBLANK(task_end)),"",task_end-task_start+1)</f>
        <v>16</v>
      </c>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32"/>
      <c r="GR43" s="32"/>
      <c r="GS43" s="32"/>
      <c r="GT43" s="32"/>
      <c r="GU43" s="32"/>
      <c r="GV43" s="32"/>
      <c r="GW43" s="32"/>
      <c r="GX43" s="32"/>
      <c r="GY43" s="32"/>
      <c r="GZ43" s="32"/>
      <c r="HA43" s="32"/>
      <c r="HB43" s="32"/>
      <c r="HC43" s="32"/>
      <c r="HD43" s="32"/>
      <c r="HE43" s="32"/>
      <c r="HF43" s="32"/>
      <c r="HG43" s="32"/>
      <c r="HH43" s="32"/>
      <c r="HI43" s="32"/>
      <c r="HJ43" s="32"/>
      <c r="HK43" s="32"/>
      <c r="HL43" s="32"/>
      <c r="HM43" s="32"/>
      <c r="HN43" s="32"/>
      <c r="HO43" s="32"/>
      <c r="HP43" s="32"/>
      <c r="HQ43" s="32"/>
      <c r="HR43" s="32"/>
      <c r="HS43" s="32"/>
      <c r="HT43" s="32"/>
      <c r="HU43" s="32"/>
      <c r="HV43" s="32"/>
      <c r="HW43" s="32"/>
      <c r="HX43" s="32"/>
      <c r="HY43" s="32"/>
      <c r="HZ43" s="32"/>
      <c r="IA43" s="32"/>
      <c r="IB43" s="32"/>
      <c r="IC43" s="32"/>
      <c r="ID43" s="32"/>
      <c r="IE43" s="32"/>
      <c r="IF43" s="32"/>
      <c r="IG43" s="32"/>
      <c r="IH43" s="32"/>
      <c r="II43" s="32"/>
      <c r="IJ43" s="32"/>
      <c r="IK43" s="32"/>
      <c r="IL43" s="32"/>
      <c r="IM43" s="32"/>
      <c r="IN43" s="32"/>
      <c r="IO43" s="32"/>
      <c r="IP43" s="32"/>
      <c r="IQ43" s="32"/>
      <c r="IR43" s="32"/>
      <c r="IS43" s="32"/>
      <c r="IT43" s="32"/>
      <c r="IU43" s="32"/>
      <c r="IV43" s="32"/>
      <c r="IW43" s="32"/>
      <c r="IX43" s="32"/>
      <c r="IY43" s="32"/>
      <c r="IZ43" s="32"/>
      <c r="JA43" s="32"/>
      <c r="JB43" s="32"/>
      <c r="JC43" s="32"/>
      <c r="JD43" s="32"/>
      <c r="JE43" s="32"/>
      <c r="JF43" s="32"/>
      <c r="JG43" s="32"/>
      <c r="JH43" s="32"/>
      <c r="JI43" s="32"/>
      <c r="JJ43" s="32"/>
      <c r="JK43" s="32"/>
      <c r="JL43" s="32"/>
      <c r="JM43" s="32"/>
      <c r="JN43" s="32"/>
      <c r="JO43" s="32"/>
      <c r="JP43" s="32"/>
      <c r="JQ43" s="32"/>
      <c r="JR43" s="32"/>
      <c r="JS43" s="32"/>
      <c r="JT43" s="32"/>
      <c r="JU43" s="32"/>
      <c r="JV43" s="32"/>
      <c r="JW43" s="32"/>
      <c r="JX43" s="32"/>
      <c r="JY43" s="32"/>
      <c r="JZ43" s="32"/>
      <c r="KA43" s="32"/>
      <c r="KB43" s="32"/>
      <c r="KC43" s="32"/>
      <c r="KD43" s="32"/>
      <c r="KE43" s="32"/>
      <c r="KF43" s="32"/>
      <c r="KG43" s="32"/>
      <c r="KH43" s="32"/>
      <c r="KI43" s="32"/>
      <c r="KJ43" s="32"/>
      <c r="KK43" s="32"/>
      <c r="KL43" s="32"/>
      <c r="KM43" s="32"/>
      <c r="KN43" s="32"/>
      <c r="KO43" s="32"/>
      <c r="KP43" s="32"/>
      <c r="KQ43" s="32"/>
      <c r="KR43" s="32"/>
      <c r="KS43" s="32"/>
      <c r="KT43" s="32"/>
      <c r="KU43" s="32"/>
      <c r="KV43" s="32"/>
      <c r="KW43" s="32"/>
      <c r="KX43" s="32"/>
    </row>
    <row r="44" spans="1:310" s="40" customFormat="1" ht="30" customHeight="1" x14ac:dyDescent="0.25">
      <c r="A44" s="4"/>
      <c r="B44" s="54" t="s">
        <v>79</v>
      </c>
      <c r="C44" s="55" t="s">
        <v>76</v>
      </c>
      <c r="D44" s="55" t="s">
        <v>77</v>
      </c>
      <c r="E44" s="56">
        <v>1</v>
      </c>
      <c r="F44" s="57">
        <v>46151</v>
      </c>
      <c r="G44" s="57">
        <v>46176</v>
      </c>
      <c r="H44" s="39"/>
      <c r="I44" s="39"/>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32"/>
      <c r="GR44" s="32"/>
      <c r="GS44" s="32"/>
      <c r="GT44" s="32"/>
      <c r="GU44" s="32"/>
      <c r="GV44" s="32"/>
      <c r="GW44" s="32"/>
      <c r="GX44" s="32"/>
      <c r="GY44" s="32"/>
      <c r="GZ44" s="32"/>
      <c r="HA44" s="32"/>
      <c r="HB44" s="32"/>
      <c r="HC44" s="32"/>
      <c r="HD44" s="32"/>
      <c r="HE44" s="32"/>
      <c r="HF44" s="32"/>
      <c r="HG44" s="32"/>
      <c r="HH44" s="32"/>
      <c r="HI44" s="32"/>
      <c r="HJ44" s="32"/>
      <c r="HK44" s="32"/>
      <c r="HL44" s="32"/>
      <c r="HM44" s="32"/>
      <c r="HN44" s="32"/>
      <c r="HO44" s="32"/>
      <c r="HP44" s="32"/>
      <c r="HQ44" s="32"/>
      <c r="HR44" s="32"/>
      <c r="HS44" s="32"/>
      <c r="HT44" s="32"/>
      <c r="HU44" s="32"/>
      <c r="HV44" s="32"/>
      <c r="HW44" s="32"/>
      <c r="HX44" s="32"/>
      <c r="HY44" s="32"/>
      <c r="HZ44" s="32"/>
      <c r="IA44" s="32"/>
      <c r="IB44" s="32"/>
      <c r="IC44" s="32"/>
      <c r="ID44" s="32"/>
      <c r="IE44" s="32"/>
      <c r="IF44" s="32"/>
      <c r="IG44" s="32"/>
      <c r="IH44" s="32"/>
      <c r="II44" s="32"/>
      <c r="IJ44" s="32"/>
      <c r="IK44" s="32"/>
      <c r="IL44" s="32"/>
      <c r="IM44" s="32"/>
      <c r="IN44" s="32"/>
      <c r="IO44" s="32"/>
      <c r="IP44" s="32"/>
      <c r="IQ44" s="32"/>
      <c r="IR44" s="32"/>
      <c r="IS44" s="32"/>
      <c r="IT44" s="32"/>
      <c r="IU44" s="32"/>
      <c r="IV44" s="32"/>
      <c r="IW44" s="32"/>
      <c r="IX44" s="32"/>
      <c r="IY44" s="32"/>
      <c r="IZ44" s="32"/>
      <c r="JA44" s="32"/>
      <c r="JB44" s="32"/>
      <c r="JC44" s="32"/>
      <c r="JD44" s="32"/>
      <c r="JE44" s="32"/>
      <c r="JF44" s="32"/>
      <c r="JG44" s="32"/>
      <c r="JH44" s="32"/>
      <c r="JI44" s="32"/>
      <c r="JJ44" s="32"/>
      <c r="JK44" s="32"/>
      <c r="JL44" s="32"/>
      <c r="JM44" s="32"/>
      <c r="JN44" s="32"/>
      <c r="JO44" s="32"/>
      <c r="JP44" s="32"/>
      <c r="JQ44" s="32"/>
      <c r="JR44" s="32"/>
      <c r="JS44" s="32"/>
      <c r="JT44" s="32"/>
      <c r="JU44" s="32"/>
      <c r="JV44" s="32"/>
      <c r="JW44" s="32"/>
      <c r="JX44" s="32"/>
      <c r="JY44" s="32"/>
      <c r="JZ44" s="32"/>
      <c r="KA44" s="32"/>
      <c r="KB44" s="32"/>
      <c r="KC44" s="32"/>
      <c r="KD44" s="32"/>
      <c r="KE44" s="32"/>
      <c r="KF44" s="32"/>
      <c r="KG44" s="32"/>
      <c r="KH44" s="32"/>
      <c r="KI44" s="32"/>
      <c r="KJ44" s="32"/>
      <c r="KK44" s="32"/>
      <c r="KL44" s="32"/>
      <c r="KM44" s="32"/>
      <c r="KN44" s="32"/>
      <c r="KO44" s="32"/>
      <c r="KP44" s="32"/>
      <c r="KQ44" s="32"/>
      <c r="KR44" s="32"/>
      <c r="KS44" s="32"/>
      <c r="KT44" s="32"/>
      <c r="KU44" s="32"/>
      <c r="KV44" s="32"/>
      <c r="KW44" s="32"/>
      <c r="KX44" s="32"/>
    </row>
    <row r="45" spans="1:310" s="40" customFormat="1" ht="30" customHeight="1" x14ac:dyDescent="0.25">
      <c r="A45" s="4"/>
      <c r="B45" s="54" t="s">
        <v>80</v>
      </c>
      <c r="C45" s="55" t="s">
        <v>81</v>
      </c>
      <c r="D45" s="55" t="s">
        <v>77</v>
      </c>
      <c r="E45" s="56">
        <v>1</v>
      </c>
      <c r="F45" s="57">
        <v>46163</v>
      </c>
      <c r="G45" s="57">
        <v>46177</v>
      </c>
      <c r="H45" s="39"/>
      <c r="I45" s="39"/>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32"/>
      <c r="GR45" s="32"/>
      <c r="GS45" s="32"/>
      <c r="GT45" s="32"/>
      <c r="GU45" s="32"/>
      <c r="GV45" s="32"/>
      <c r="GW45" s="32"/>
      <c r="GX45" s="32"/>
      <c r="GY45" s="32"/>
      <c r="GZ45" s="32"/>
      <c r="HA45" s="32"/>
      <c r="HB45" s="32"/>
      <c r="HC45" s="32"/>
      <c r="HD45" s="32"/>
      <c r="HE45" s="32"/>
      <c r="HF45" s="32"/>
      <c r="HG45" s="32"/>
      <c r="HH45" s="32"/>
      <c r="HI45" s="32"/>
      <c r="HJ45" s="32"/>
      <c r="HK45" s="32"/>
      <c r="HL45" s="32"/>
      <c r="HM45" s="32"/>
      <c r="HN45" s="32"/>
      <c r="HO45" s="32"/>
      <c r="HP45" s="32"/>
      <c r="HQ45" s="32"/>
      <c r="HR45" s="32"/>
      <c r="HS45" s="32"/>
      <c r="HT45" s="32"/>
      <c r="HU45" s="32"/>
      <c r="HV45" s="32"/>
      <c r="HW45" s="32"/>
      <c r="HX45" s="32"/>
      <c r="HY45" s="32"/>
      <c r="HZ45" s="32"/>
      <c r="IA45" s="32"/>
      <c r="IB45" s="32"/>
      <c r="IC45" s="32"/>
      <c r="ID45" s="32"/>
      <c r="IE45" s="32"/>
      <c r="IF45" s="32"/>
      <c r="IG45" s="32"/>
      <c r="IH45" s="32"/>
      <c r="II45" s="32"/>
      <c r="IJ45" s="32"/>
      <c r="IK45" s="32"/>
      <c r="IL45" s="32"/>
      <c r="IM45" s="32"/>
      <c r="IN45" s="32"/>
      <c r="IO45" s="32"/>
      <c r="IP45" s="32"/>
      <c r="IQ45" s="32"/>
      <c r="IR45" s="32"/>
      <c r="IS45" s="32"/>
      <c r="IT45" s="32"/>
      <c r="IU45" s="32"/>
      <c r="IV45" s="32"/>
      <c r="IW45" s="32"/>
      <c r="IX45" s="32"/>
      <c r="IY45" s="32"/>
      <c r="IZ45" s="32"/>
      <c r="JA45" s="32"/>
      <c r="JB45" s="32"/>
      <c r="JC45" s="32"/>
      <c r="JD45" s="32"/>
      <c r="JE45" s="32"/>
      <c r="JF45" s="32"/>
      <c r="JG45" s="32"/>
      <c r="JH45" s="32"/>
      <c r="JI45" s="32"/>
      <c r="JJ45" s="32"/>
      <c r="JK45" s="32"/>
      <c r="JL45" s="32"/>
      <c r="JM45" s="32"/>
      <c r="JN45" s="32"/>
      <c r="JO45" s="32"/>
      <c r="JP45" s="32"/>
      <c r="JQ45" s="32"/>
      <c r="JR45" s="32"/>
      <c r="JS45" s="32"/>
      <c r="JT45" s="32"/>
      <c r="JU45" s="32"/>
      <c r="JV45" s="32"/>
      <c r="JW45" s="32"/>
      <c r="JX45" s="32"/>
      <c r="JY45" s="32"/>
      <c r="JZ45" s="32"/>
      <c r="KA45" s="32"/>
      <c r="KB45" s="32"/>
      <c r="KC45" s="32"/>
      <c r="KD45" s="32"/>
      <c r="KE45" s="32"/>
      <c r="KF45" s="32"/>
      <c r="KG45" s="32"/>
      <c r="KH45" s="32"/>
      <c r="KI45" s="32"/>
      <c r="KJ45" s="32"/>
      <c r="KK45" s="32"/>
      <c r="KL45" s="32"/>
      <c r="KM45" s="32"/>
      <c r="KN45" s="32"/>
      <c r="KO45" s="32"/>
      <c r="KP45" s="32"/>
      <c r="KQ45" s="32"/>
      <c r="KR45" s="32"/>
      <c r="KS45" s="32"/>
      <c r="KT45" s="32"/>
      <c r="KU45" s="32"/>
      <c r="KV45" s="32"/>
      <c r="KW45" s="32"/>
      <c r="KX45" s="32"/>
    </row>
    <row r="46" spans="1:310" s="40" customFormat="1" ht="30" customHeight="1" x14ac:dyDescent="0.25">
      <c r="A46" s="4"/>
      <c r="B46" s="54" t="s">
        <v>82</v>
      </c>
      <c r="C46" s="55" t="s">
        <v>83</v>
      </c>
      <c r="D46" s="55" t="s">
        <v>84</v>
      </c>
      <c r="E46" s="56">
        <v>1</v>
      </c>
      <c r="F46" s="57">
        <v>46157</v>
      </c>
      <c r="G46" s="57">
        <v>46176</v>
      </c>
      <c r="H46" s="39"/>
      <c r="I46" s="39">
        <f>IF(OR(ISBLANK(task_start),ISBLANK(task_end)),"",task_end-task_start+1)</f>
        <v>20</v>
      </c>
      <c r="J46" s="32"/>
      <c r="K46" s="32"/>
      <c r="L46" s="32"/>
      <c r="M46" s="32"/>
      <c r="N46" s="32"/>
      <c r="O46" s="32"/>
      <c r="P46" s="32"/>
      <c r="Q46" s="32"/>
      <c r="R46" s="32"/>
      <c r="S46" s="32"/>
      <c r="T46" s="32"/>
      <c r="U46" s="32"/>
      <c r="V46" s="32"/>
      <c r="W46" s="32"/>
      <c r="X46" s="32"/>
      <c r="Y46" s="32"/>
      <c r="Z46" s="47"/>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32"/>
      <c r="GR46" s="32"/>
      <c r="GS46" s="32"/>
      <c r="GT46" s="32"/>
      <c r="GU46" s="32"/>
      <c r="GV46" s="32"/>
      <c r="GW46" s="32"/>
      <c r="GX46" s="32"/>
      <c r="GY46" s="32"/>
      <c r="GZ46" s="32"/>
      <c r="HA46" s="32"/>
      <c r="HB46" s="32"/>
      <c r="HC46" s="32"/>
      <c r="HD46" s="32"/>
      <c r="HE46" s="32"/>
      <c r="HF46" s="32"/>
      <c r="HG46" s="32"/>
      <c r="HH46" s="32"/>
      <c r="HI46" s="32"/>
      <c r="HJ46" s="32"/>
      <c r="HK46" s="32"/>
      <c r="HL46" s="32"/>
      <c r="HM46" s="32"/>
      <c r="HN46" s="32"/>
      <c r="HO46" s="32"/>
      <c r="HP46" s="32"/>
      <c r="HQ46" s="32"/>
      <c r="HR46" s="32"/>
      <c r="HS46" s="32"/>
      <c r="HT46" s="32"/>
      <c r="HU46" s="32"/>
      <c r="HV46" s="32"/>
      <c r="HW46" s="32"/>
      <c r="HX46" s="32"/>
      <c r="HY46" s="32"/>
      <c r="HZ46" s="32"/>
      <c r="IA46" s="32"/>
      <c r="IB46" s="32"/>
      <c r="IC46" s="32"/>
      <c r="ID46" s="32"/>
      <c r="IE46" s="32"/>
      <c r="IF46" s="32"/>
      <c r="IG46" s="32"/>
      <c r="IH46" s="32"/>
      <c r="II46" s="32"/>
      <c r="IJ46" s="32"/>
      <c r="IK46" s="32"/>
      <c r="IL46" s="32"/>
      <c r="IM46" s="32"/>
      <c r="IN46" s="32"/>
      <c r="IO46" s="32"/>
      <c r="IP46" s="32"/>
      <c r="IQ46" s="32"/>
      <c r="IR46" s="32"/>
      <c r="IS46" s="32"/>
      <c r="IT46" s="32"/>
      <c r="IU46" s="32"/>
      <c r="IV46" s="32"/>
      <c r="IW46" s="32"/>
      <c r="IX46" s="32"/>
      <c r="IY46" s="32"/>
      <c r="IZ46" s="32"/>
      <c r="JA46" s="32"/>
      <c r="JB46" s="32"/>
      <c r="JC46" s="32"/>
      <c r="JD46" s="32"/>
      <c r="JE46" s="32"/>
      <c r="JF46" s="32"/>
      <c r="JG46" s="32"/>
      <c r="JH46" s="32"/>
      <c r="JI46" s="32"/>
      <c r="JJ46" s="32"/>
      <c r="JK46" s="32"/>
      <c r="JL46" s="32"/>
      <c r="JM46" s="32"/>
      <c r="JN46" s="32"/>
      <c r="JO46" s="32"/>
      <c r="JP46" s="32"/>
      <c r="JQ46" s="32"/>
      <c r="JR46" s="32"/>
      <c r="JS46" s="32"/>
      <c r="JT46" s="32"/>
      <c r="JU46" s="32"/>
      <c r="JV46" s="32"/>
      <c r="JW46" s="32"/>
      <c r="JX46" s="32"/>
      <c r="JY46" s="32"/>
      <c r="JZ46" s="32"/>
      <c r="KA46" s="32"/>
      <c r="KB46" s="32"/>
      <c r="KC46" s="32"/>
      <c r="KD46" s="32"/>
      <c r="KE46" s="32"/>
      <c r="KF46" s="32"/>
      <c r="KG46" s="32"/>
      <c r="KH46" s="32"/>
      <c r="KI46" s="32"/>
      <c r="KJ46" s="32"/>
      <c r="KK46" s="32"/>
      <c r="KL46" s="32"/>
      <c r="KM46" s="32"/>
      <c r="KN46" s="32"/>
      <c r="KO46" s="32"/>
      <c r="KP46" s="32"/>
      <c r="KQ46" s="32"/>
      <c r="KR46" s="32"/>
      <c r="KS46" s="32"/>
      <c r="KT46" s="32"/>
      <c r="KU46" s="32"/>
      <c r="KV46" s="32"/>
      <c r="KW46" s="32"/>
      <c r="KX46" s="32"/>
    </row>
    <row r="47" spans="1:310" s="40" customFormat="1" ht="30" customHeight="1" x14ac:dyDescent="0.25">
      <c r="A47" s="4"/>
      <c r="B47" s="54" t="s">
        <v>85</v>
      </c>
      <c r="C47" s="55" t="s">
        <v>83</v>
      </c>
      <c r="D47" s="55" t="s">
        <v>86</v>
      </c>
      <c r="E47" s="56">
        <v>1</v>
      </c>
      <c r="F47" s="57">
        <v>46152</v>
      </c>
      <c r="G47" s="57">
        <v>46181</v>
      </c>
      <c r="H47" s="39"/>
      <c r="I47" s="39"/>
      <c r="J47" s="32"/>
      <c r="K47" s="32"/>
      <c r="L47" s="32"/>
      <c r="M47" s="32"/>
      <c r="N47" s="32"/>
      <c r="O47" s="32"/>
      <c r="P47" s="32"/>
      <c r="Q47" s="32"/>
      <c r="R47" s="32"/>
      <c r="S47" s="32"/>
      <c r="T47" s="32"/>
      <c r="U47" s="32"/>
      <c r="V47" s="32"/>
      <c r="W47" s="32"/>
      <c r="X47" s="32"/>
      <c r="Y47" s="32"/>
      <c r="Z47" s="47"/>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32"/>
      <c r="GR47" s="32"/>
      <c r="GS47" s="32"/>
      <c r="GT47" s="32"/>
      <c r="GU47" s="32"/>
      <c r="GV47" s="32"/>
      <c r="GW47" s="32"/>
      <c r="GX47" s="32"/>
      <c r="GY47" s="32"/>
      <c r="GZ47" s="32"/>
      <c r="HA47" s="32"/>
      <c r="HB47" s="32"/>
      <c r="HC47" s="32"/>
      <c r="HD47" s="32"/>
      <c r="HE47" s="32"/>
      <c r="HF47" s="32"/>
      <c r="HG47" s="32"/>
      <c r="HH47" s="32"/>
      <c r="HI47" s="32"/>
      <c r="HJ47" s="32"/>
      <c r="HK47" s="32"/>
      <c r="HL47" s="32"/>
      <c r="HM47" s="32"/>
      <c r="HN47" s="32"/>
      <c r="HO47" s="32"/>
      <c r="HP47" s="32"/>
      <c r="HQ47" s="32"/>
      <c r="HR47" s="32"/>
      <c r="HS47" s="32"/>
      <c r="HT47" s="32"/>
      <c r="HU47" s="32"/>
      <c r="HV47" s="32"/>
      <c r="HW47" s="32"/>
      <c r="HX47" s="32"/>
      <c r="HY47" s="32"/>
      <c r="HZ47" s="32"/>
      <c r="IA47" s="32"/>
      <c r="IB47" s="32"/>
      <c r="IC47" s="32"/>
      <c r="ID47" s="32"/>
      <c r="IE47" s="32"/>
      <c r="IF47" s="32"/>
      <c r="IG47" s="32"/>
      <c r="IH47" s="32"/>
      <c r="II47" s="32"/>
      <c r="IJ47" s="32"/>
      <c r="IK47" s="32"/>
      <c r="IL47" s="32"/>
      <c r="IM47" s="32"/>
      <c r="IN47" s="32"/>
      <c r="IO47" s="32"/>
      <c r="IP47" s="32"/>
      <c r="IQ47" s="32"/>
      <c r="IR47" s="32"/>
      <c r="IS47" s="32"/>
      <c r="IT47" s="32"/>
      <c r="IU47" s="32"/>
      <c r="IV47" s="32"/>
      <c r="IW47" s="32"/>
      <c r="IX47" s="32"/>
      <c r="IY47" s="32"/>
      <c r="IZ47" s="32"/>
      <c r="JA47" s="32"/>
      <c r="JB47" s="32"/>
      <c r="JC47" s="32"/>
      <c r="JD47" s="32"/>
      <c r="JE47" s="32"/>
      <c r="JF47" s="32"/>
      <c r="JG47" s="32"/>
      <c r="JH47" s="32"/>
      <c r="JI47" s="32"/>
      <c r="JJ47" s="32"/>
      <c r="JK47" s="32"/>
      <c r="JL47" s="32"/>
      <c r="JM47" s="32"/>
      <c r="JN47" s="32"/>
      <c r="JO47" s="32"/>
      <c r="JP47" s="32"/>
      <c r="JQ47" s="32"/>
      <c r="JR47" s="32"/>
      <c r="JS47" s="32"/>
      <c r="JT47" s="32"/>
      <c r="JU47" s="32"/>
      <c r="JV47" s="32"/>
      <c r="JW47" s="32"/>
      <c r="JX47" s="32"/>
      <c r="JY47" s="32"/>
      <c r="JZ47" s="32"/>
      <c r="KA47" s="32"/>
      <c r="KB47" s="32"/>
      <c r="KC47" s="32"/>
      <c r="KD47" s="32"/>
      <c r="KE47" s="32"/>
      <c r="KF47" s="32"/>
      <c r="KG47" s="32"/>
      <c r="KH47" s="32"/>
      <c r="KI47" s="32"/>
      <c r="KJ47" s="32"/>
      <c r="KK47" s="32"/>
      <c r="KL47" s="32"/>
      <c r="KM47" s="32"/>
      <c r="KN47" s="32"/>
      <c r="KO47" s="32"/>
      <c r="KP47" s="32"/>
      <c r="KQ47" s="32"/>
      <c r="KR47" s="32"/>
      <c r="KS47" s="32"/>
      <c r="KT47" s="32"/>
      <c r="KU47" s="32"/>
      <c r="KV47" s="32"/>
      <c r="KW47" s="32"/>
      <c r="KX47" s="32"/>
    </row>
    <row r="48" spans="1:310" s="40" customFormat="1" ht="30" customHeight="1" x14ac:dyDescent="0.25">
      <c r="A48" s="4"/>
      <c r="B48" s="54" t="s">
        <v>87</v>
      </c>
      <c r="C48" s="55" t="s">
        <v>88</v>
      </c>
      <c r="D48" s="55" t="s">
        <v>89</v>
      </c>
      <c r="E48" s="56">
        <v>1</v>
      </c>
      <c r="F48" s="57">
        <v>46159</v>
      </c>
      <c r="G48" s="57">
        <v>46177</v>
      </c>
      <c r="H48" s="39"/>
      <c r="I48" s="39"/>
      <c r="J48" s="32"/>
      <c r="K48" s="32"/>
      <c r="L48" s="32"/>
      <c r="M48" s="32"/>
      <c r="N48" s="32"/>
      <c r="O48" s="32"/>
      <c r="P48" s="32"/>
      <c r="Q48" s="32"/>
      <c r="R48" s="32"/>
      <c r="S48" s="32"/>
      <c r="T48" s="32"/>
      <c r="U48" s="32"/>
      <c r="V48" s="32"/>
      <c r="W48" s="32"/>
      <c r="X48" s="32"/>
      <c r="Y48" s="32"/>
      <c r="Z48" s="47"/>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32"/>
      <c r="GR48" s="32"/>
      <c r="GS48" s="32"/>
      <c r="GT48" s="32"/>
      <c r="GU48" s="32"/>
      <c r="GV48" s="32"/>
      <c r="GW48" s="32"/>
      <c r="GX48" s="32"/>
      <c r="GY48" s="32"/>
      <c r="GZ48" s="32"/>
      <c r="HA48" s="32"/>
      <c r="HB48" s="32"/>
      <c r="HC48" s="32"/>
      <c r="HD48" s="32"/>
      <c r="HE48" s="32"/>
      <c r="HF48" s="32"/>
      <c r="HG48" s="32"/>
      <c r="HH48" s="32"/>
      <c r="HI48" s="32"/>
      <c r="HJ48" s="32"/>
      <c r="HK48" s="32"/>
      <c r="HL48" s="32"/>
      <c r="HM48" s="32"/>
      <c r="HN48" s="32"/>
      <c r="HO48" s="32"/>
      <c r="HP48" s="32"/>
      <c r="HQ48" s="32"/>
      <c r="HR48" s="32"/>
      <c r="HS48" s="32"/>
      <c r="HT48" s="32"/>
      <c r="HU48" s="32"/>
      <c r="HV48" s="32"/>
      <c r="HW48" s="32"/>
      <c r="HX48" s="32"/>
      <c r="HY48" s="32"/>
      <c r="HZ48" s="32"/>
      <c r="IA48" s="32"/>
      <c r="IB48" s="32"/>
      <c r="IC48" s="32"/>
      <c r="ID48" s="32"/>
      <c r="IE48" s="32"/>
      <c r="IF48" s="32"/>
      <c r="IG48" s="32"/>
      <c r="IH48" s="32"/>
      <c r="II48" s="32"/>
      <c r="IJ48" s="32"/>
      <c r="IK48" s="32"/>
      <c r="IL48" s="32"/>
      <c r="IM48" s="32"/>
      <c r="IN48" s="32"/>
      <c r="IO48" s="32"/>
      <c r="IP48" s="32"/>
      <c r="IQ48" s="32"/>
      <c r="IR48" s="32"/>
      <c r="IS48" s="32"/>
      <c r="IT48" s="32"/>
      <c r="IU48" s="32"/>
      <c r="IV48" s="32"/>
      <c r="IW48" s="32"/>
      <c r="IX48" s="32"/>
      <c r="IY48" s="32"/>
      <c r="IZ48" s="32"/>
      <c r="JA48" s="32"/>
      <c r="JB48" s="32"/>
      <c r="JC48" s="32"/>
      <c r="JD48" s="32"/>
      <c r="JE48" s="32"/>
      <c r="JF48" s="32"/>
      <c r="JG48" s="32"/>
      <c r="JH48" s="32"/>
      <c r="JI48" s="32"/>
      <c r="JJ48" s="32"/>
      <c r="JK48" s="32"/>
      <c r="JL48" s="32"/>
      <c r="JM48" s="32"/>
      <c r="JN48" s="32"/>
      <c r="JO48" s="32"/>
      <c r="JP48" s="32"/>
      <c r="JQ48" s="32"/>
      <c r="JR48" s="32"/>
      <c r="JS48" s="32"/>
      <c r="JT48" s="32"/>
      <c r="JU48" s="32"/>
      <c r="JV48" s="32"/>
      <c r="JW48" s="32"/>
      <c r="JX48" s="32"/>
      <c r="JY48" s="32"/>
      <c r="JZ48" s="32"/>
      <c r="KA48" s="32"/>
      <c r="KB48" s="32"/>
      <c r="KC48" s="32"/>
      <c r="KD48" s="32"/>
      <c r="KE48" s="32"/>
      <c r="KF48" s="32"/>
      <c r="KG48" s="32"/>
      <c r="KH48" s="32"/>
      <c r="KI48" s="32"/>
      <c r="KJ48" s="32"/>
      <c r="KK48" s="32"/>
      <c r="KL48" s="32"/>
      <c r="KM48" s="32"/>
      <c r="KN48" s="32"/>
      <c r="KO48" s="32"/>
      <c r="KP48" s="32"/>
      <c r="KQ48" s="32"/>
      <c r="KR48" s="32"/>
      <c r="KS48" s="32"/>
      <c r="KT48" s="32"/>
      <c r="KU48" s="32"/>
      <c r="KV48" s="32"/>
      <c r="KW48" s="32"/>
      <c r="KX48" s="32"/>
    </row>
    <row r="49" spans="1:310" s="40" customFormat="1" ht="30" customHeight="1" x14ac:dyDescent="0.25">
      <c r="A49" s="4" t="s">
        <v>90</v>
      </c>
      <c r="B49" s="54" t="s">
        <v>91</v>
      </c>
      <c r="C49" s="55" t="s">
        <v>81</v>
      </c>
      <c r="D49" s="55" t="s">
        <v>89</v>
      </c>
      <c r="E49" s="56">
        <v>1</v>
      </c>
      <c r="F49" s="57">
        <v>46165</v>
      </c>
      <c r="G49" s="57">
        <v>46185</v>
      </c>
      <c r="H49" s="39"/>
      <c r="I49" s="39"/>
      <c r="J49" s="32"/>
      <c r="K49" s="32"/>
      <c r="L49" s="32"/>
      <c r="M49" s="32"/>
      <c r="N49" s="32"/>
      <c r="O49" s="32"/>
      <c r="P49" s="32"/>
      <c r="Q49" s="32"/>
      <c r="R49" s="32"/>
      <c r="S49" s="32"/>
      <c r="T49" s="32"/>
      <c r="U49" s="32"/>
      <c r="V49" s="32"/>
      <c r="W49" s="32"/>
      <c r="X49" s="32"/>
      <c r="Y49" s="32"/>
      <c r="Z49" s="47"/>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32"/>
      <c r="GR49" s="32"/>
      <c r="GS49" s="32"/>
      <c r="GT49" s="32"/>
      <c r="GU49" s="32"/>
      <c r="GV49" s="32"/>
      <c r="GW49" s="32"/>
      <c r="GX49" s="32"/>
      <c r="GY49" s="32"/>
      <c r="GZ49" s="32"/>
      <c r="HA49" s="32"/>
      <c r="HB49" s="32"/>
      <c r="HC49" s="32"/>
      <c r="HD49" s="32"/>
      <c r="HE49" s="32"/>
      <c r="HF49" s="32"/>
      <c r="HG49" s="32"/>
      <c r="HH49" s="32"/>
      <c r="HI49" s="32"/>
      <c r="HJ49" s="32"/>
      <c r="HK49" s="32"/>
      <c r="HL49" s="32"/>
      <c r="HM49" s="32"/>
      <c r="HN49" s="32"/>
      <c r="HO49" s="32"/>
      <c r="HP49" s="32"/>
      <c r="HQ49" s="32"/>
      <c r="HR49" s="32"/>
      <c r="HS49" s="32"/>
      <c r="HT49" s="32"/>
      <c r="HU49" s="32"/>
      <c r="HV49" s="32"/>
      <c r="HW49" s="32"/>
      <c r="HX49" s="32"/>
      <c r="HY49" s="32"/>
      <c r="HZ49" s="32"/>
      <c r="IA49" s="32"/>
      <c r="IB49" s="32"/>
      <c r="IC49" s="32"/>
      <c r="ID49" s="32"/>
      <c r="IE49" s="32"/>
      <c r="IF49" s="32"/>
      <c r="IG49" s="32"/>
      <c r="IH49" s="32"/>
      <c r="II49" s="32"/>
      <c r="IJ49" s="32"/>
      <c r="IK49" s="32"/>
      <c r="IL49" s="32"/>
      <c r="IM49" s="32"/>
      <c r="IN49" s="32"/>
      <c r="IO49" s="32"/>
      <c r="IP49" s="32"/>
      <c r="IQ49" s="32"/>
      <c r="IR49" s="32"/>
      <c r="IS49" s="32"/>
      <c r="IT49" s="32"/>
      <c r="IU49" s="32"/>
      <c r="IV49" s="32"/>
      <c r="IW49" s="32"/>
      <c r="IX49" s="32"/>
      <c r="IY49" s="32"/>
      <c r="IZ49" s="32"/>
      <c r="JA49" s="32"/>
      <c r="JB49" s="32"/>
      <c r="JC49" s="32"/>
      <c r="JD49" s="32"/>
      <c r="JE49" s="32"/>
      <c r="JF49" s="32"/>
      <c r="JG49" s="32"/>
      <c r="JH49" s="32"/>
      <c r="JI49" s="32"/>
      <c r="JJ49" s="32"/>
      <c r="JK49" s="32"/>
      <c r="JL49" s="32"/>
      <c r="JM49" s="32"/>
      <c r="JN49" s="32"/>
      <c r="JO49" s="32"/>
      <c r="JP49" s="32"/>
      <c r="JQ49" s="32"/>
      <c r="JR49" s="32"/>
      <c r="JS49" s="32"/>
      <c r="JT49" s="32"/>
      <c r="JU49" s="32"/>
      <c r="JV49" s="32"/>
      <c r="JW49" s="32"/>
      <c r="JX49" s="32"/>
      <c r="JY49" s="32"/>
      <c r="JZ49" s="32"/>
      <c r="KA49" s="32"/>
      <c r="KB49" s="32"/>
      <c r="KC49" s="32"/>
      <c r="KD49" s="32"/>
      <c r="KE49" s="32"/>
      <c r="KF49" s="32"/>
      <c r="KG49" s="32"/>
      <c r="KH49" s="32"/>
      <c r="KI49" s="32"/>
      <c r="KJ49" s="32"/>
      <c r="KK49" s="32"/>
      <c r="KL49" s="32"/>
      <c r="KM49" s="32"/>
      <c r="KN49" s="32"/>
      <c r="KO49" s="32"/>
      <c r="KP49" s="32"/>
      <c r="KQ49" s="32"/>
      <c r="KR49" s="32"/>
      <c r="KS49" s="32"/>
      <c r="KT49" s="32"/>
      <c r="KU49" s="32"/>
      <c r="KV49" s="32"/>
      <c r="KW49" s="32"/>
      <c r="KX49" s="32"/>
    </row>
    <row r="50" spans="1:310" s="40" customFormat="1" ht="30" customHeight="1" x14ac:dyDescent="0.25">
      <c r="A50" s="4"/>
      <c r="B50" s="54" t="s">
        <v>92</v>
      </c>
      <c r="C50" s="55" t="s">
        <v>83</v>
      </c>
      <c r="D50" s="55" t="s">
        <v>93</v>
      </c>
      <c r="E50" s="56">
        <v>1</v>
      </c>
      <c r="F50" s="57">
        <v>46152</v>
      </c>
      <c r="G50" s="57">
        <v>46176</v>
      </c>
      <c r="H50" s="39"/>
      <c r="I50" s="39"/>
      <c r="J50" s="32"/>
      <c r="K50" s="32"/>
      <c r="L50" s="32"/>
      <c r="M50" s="32"/>
      <c r="N50" s="32"/>
      <c r="O50" s="32"/>
      <c r="P50" s="32"/>
      <c r="Q50" s="32"/>
      <c r="R50" s="32"/>
      <c r="S50" s="32"/>
      <c r="T50" s="32"/>
      <c r="U50" s="32"/>
      <c r="V50" s="32"/>
      <c r="W50" s="32"/>
      <c r="X50" s="32"/>
      <c r="Y50" s="32"/>
      <c r="Z50" s="47"/>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32"/>
      <c r="GR50" s="32"/>
      <c r="GS50" s="32"/>
      <c r="GT50" s="32"/>
      <c r="GU50" s="32"/>
      <c r="GV50" s="32"/>
      <c r="GW50" s="32"/>
      <c r="GX50" s="32"/>
      <c r="GY50" s="32"/>
      <c r="GZ50" s="32"/>
      <c r="HA50" s="32"/>
      <c r="HB50" s="32"/>
      <c r="HC50" s="32"/>
      <c r="HD50" s="32"/>
      <c r="HE50" s="32"/>
      <c r="HF50" s="32"/>
      <c r="HG50" s="32"/>
      <c r="HH50" s="32"/>
      <c r="HI50" s="32"/>
      <c r="HJ50" s="32"/>
      <c r="HK50" s="32"/>
      <c r="HL50" s="32"/>
      <c r="HM50" s="32"/>
      <c r="HN50" s="32"/>
      <c r="HO50" s="32"/>
      <c r="HP50" s="32"/>
      <c r="HQ50" s="32"/>
      <c r="HR50" s="32"/>
      <c r="HS50" s="32"/>
      <c r="HT50" s="32"/>
      <c r="HU50" s="32"/>
      <c r="HV50" s="32"/>
      <c r="HW50" s="32"/>
      <c r="HX50" s="32"/>
      <c r="HY50" s="32"/>
      <c r="HZ50" s="32"/>
      <c r="IA50" s="32"/>
      <c r="IB50" s="32"/>
      <c r="IC50" s="32"/>
      <c r="ID50" s="32"/>
      <c r="IE50" s="32"/>
      <c r="IF50" s="32"/>
      <c r="IG50" s="32"/>
      <c r="IH50" s="32"/>
      <c r="II50" s="32"/>
      <c r="IJ50" s="32"/>
      <c r="IK50" s="32"/>
      <c r="IL50" s="32"/>
      <c r="IM50" s="32"/>
      <c r="IN50" s="32"/>
      <c r="IO50" s="32"/>
      <c r="IP50" s="32"/>
      <c r="IQ50" s="32"/>
      <c r="IR50" s="32"/>
      <c r="IS50" s="32"/>
      <c r="IT50" s="32"/>
      <c r="IU50" s="32"/>
      <c r="IV50" s="32"/>
      <c r="IW50" s="32"/>
      <c r="IX50" s="32"/>
      <c r="IY50" s="32"/>
      <c r="IZ50" s="32"/>
      <c r="JA50" s="32"/>
      <c r="JB50" s="32"/>
      <c r="JC50" s="32"/>
      <c r="JD50" s="32"/>
      <c r="JE50" s="32"/>
      <c r="JF50" s="32"/>
      <c r="JG50" s="32"/>
      <c r="JH50" s="32"/>
      <c r="JI50" s="32"/>
      <c r="JJ50" s="32"/>
      <c r="JK50" s="32"/>
      <c r="JL50" s="32"/>
      <c r="JM50" s="32"/>
      <c r="JN50" s="32"/>
      <c r="JO50" s="32"/>
      <c r="JP50" s="32"/>
      <c r="JQ50" s="32"/>
      <c r="JR50" s="32"/>
      <c r="JS50" s="32"/>
      <c r="JT50" s="32"/>
      <c r="JU50" s="32"/>
      <c r="JV50" s="32"/>
      <c r="JW50" s="32"/>
      <c r="JX50" s="32"/>
      <c r="JY50" s="32"/>
      <c r="JZ50" s="32"/>
      <c r="KA50" s="32"/>
      <c r="KB50" s="32"/>
      <c r="KC50" s="32"/>
      <c r="KD50" s="32"/>
      <c r="KE50" s="32"/>
      <c r="KF50" s="32"/>
      <c r="KG50" s="32"/>
      <c r="KH50" s="32"/>
      <c r="KI50" s="32"/>
      <c r="KJ50" s="32"/>
      <c r="KK50" s="32"/>
      <c r="KL50" s="32"/>
      <c r="KM50" s="32"/>
      <c r="KN50" s="32"/>
      <c r="KO50" s="32"/>
      <c r="KP50" s="32"/>
      <c r="KQ50" s="32"/>
      <c r="KR50" s="32"/>
      <c r="KS50" s="32"/>
      <c r="KT50" s="32"/>
      <c r="KU50" s="32"/>
      <c r="KV50" s="32"/>
      <c r="KW50" s="32"/>
      <c r="KX50" s="32"/>
    </row>
    <row r="51" spans="1:310" s="40" customFormat="1" ht="30" customHeight="1" x14ac:dyDescent="0.25">
      <c r="A51" s="4"/>
      <c r="B51" s="54" t="s">
        <v>94</v>
      </c>
      <c r="C51" s="55" t="s">
        <v>83</v>
      </c>
      <c r="D51" s="55" t="s">
        <v>95</v>
      </c>
      <c r="E51" s="56">
        <v>1</v>
      </c>
      <c r="F51" s="57">
        <v>46163</v>
      </c>
      <c r="G51" s="57">
        <v>46172</v>
      </c>
      <c r="H51" s="39"/>
      <c r="I51" s="39"/>
      <c r="J51" s="32"/>
      <c r="K51" s="32"/>
      <c r="L51" s="32"/>
      <c r="M51" s="32"/>
      <c r="N51" s="32"/>
      <c r="O51" s="32"/>
      <c r="P51" s="32"/>
      <c r="Q51" s="32"/>
      <c r="R51" s="32"/>
      <c r="S51" s="32"/>
      <c r="T51" s="32"/>
      <c r="U51" s="32"/>
      <c r="V51" s="32"/>
      <c r="W51" s="32"/>
      <c r="X51" s="32"/>
      <c r="Y51" s="32"/>
      <c r="Z51" s="47"/>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32"/>
      <c r="GR51" s="32"/>
      <c r="GS51" s="32"/>
      <c r="GT51" s="32"/>
      <c r="GU51" s="32"/>
      <c r="GV51" s="32"/>
      <c r="GW51" s="32"/>
      <c r="GX51" s="32"/>
      <c r="GY51" s="32"/>
      <c r="GZ51" s="32"/>
      <c r="HA51" s="32"/>
      <c r="HB51" s="32"/>
      <c r="HC51" s="32"/>
      <c r="HD51" s="32"/>
      <c r="HE51" s="32"/>
      <c r="HF51" s="32"/>
      <c r="HG51" s="32"/>
      <c r="HH51" s="32"/>
      <c r="HI51" s="32"/>
      <c r="HJ51" s="32"/>
      <c r="HK51" s="32"/>
      <c r="HL51" s="32"/>
      <c r="HM51" s="32"/>
      <c r="HN51" s="32"/>
      <c r="HO51" s="32"/>
      <c r="HP51" s="32"/>
      <c r="HQ51" s="32"/>
      <c r="HR51" s="32"/>
      <c r="HS51" s="32"/>
      <c r="HT51" s="32"/>
      <c r="HU51" s="32"/>
      <c r="HV51" s="32"/>
      <c r="HW51" s="32"/>
      <c r="HX51" s="32"/>
      <c r="HY51" s="32"/>
      <c r="HZ51" s="32"/>
      <c r="IA51" s="32"/>
      <c r="IB51" s="32"/>
      <c r="IC51" s="32"/>
      <c r="ID51" s="32"/>
      <c r="IE51" s="32"/>
      <c r="IF51" s="32"/>
      <c r="IG51" s="32"/>
      <c r="IH51" s="32"/>
      <c r="II51" s="32"/>
      <c r="IJ51" s="32"/>
      <c r="IK51" s="32"/>
      <c r="IL51" s="32"/>
      <c r="IM51" s="32"/>
      <c r="IN51" s="32"/>
      <c r="IO51" s="32"/>
      <c r="IP51" s="32"/>
      <c r="IQ51" s="32"/>
      <c r="IR51" s="32"/>
      <c r="IS51" s="32"/>
      <c r="IT51" s="32"/>
      <c r="IU51" s="32"/>
      <c r="IV51" s="32"/>
      <c r="IW51" s="32"/>
      <c r="IX51" s="32"/>
      <c r="IY51" s="32"/>
      <c r="IZ51" s="32"/>
      <c r="JA51" s="32"/>
      <c r="JB51" s="32"/>
      <c r="JC51" s="32"/>
      <c r="JD51" s="32"/>
      <c r="JE51" s="32"/>
      <c r="JF51" s="32"/>
      <c r="JG51" s="32"/>
      <c r="JH51" s="32"/>
      <c r="JI51" s="32"/>
      <c r="JJ51" s="32"/>
      <c r="JK51" s="32"/>
      <c r="JL51" s="32"/>
      <c r="JM51" s="32"/>
      <c r="JN51" s="32"/>
      <c r="JO51" s="32"/>
      <c r="JP51" s="32"/>
      <c r="JQ51" s="32"/>
      <c r="JR51" s="32"/>
      <c r="JS51" s="32"/>
      <c r="JT51" s="32"/>
      <c r="JU51" s="32"/>
      <c r="JV51" s="32"/>
      <c r="JW51" s="32"/>
      <c r="JX51" s="32"/>
      <c r="JY51" s="32"/>
      <c r="JZ51" s="32"/>
      <c r="KA51" s="32"/>
      <c r="KB51" s="32"/>
      <c r="KC51" s="32"/>
      <c r="KD51" s="32"/>
      <c r="KE51" s="32"/>
      <c r="KF51" s="32"/>
      <c r="KG51" s="32"/>
      <c r="KH51" s="32"/>
      <c r="KI51" s="32"/>
      <c r="KJ51" s="32"/>
      <c r="KK51" s="32"/>
      <c r="KL51" s="32"/>
      <c r="KM51" s="32"/>
      <c r="KN51" s="32"/>
      <c r="KO51" s="32"/>
      <c r="KP51" s="32"/>
      <c r="KQ51" s="32"/>
      <c r="KR51" s="32"/>
      <c r="KS51" s="32"/>
      <c r="KT51" s="32"/>
      <c r="KU51" s="32"/>
      <c r="KV51" s="32"/>
      <c r="KW51" s="32"/>
      <c r="KX51" s="32"/>
    </row>
    <row r="52" spans="1:310" s="40" customFormat="1" ht="30" customHeight="1" x14ac:dyDescent="0.25">
      <c r="A52" s="4"/>
      <c r="B52" s="54" t="s">
        <v>96</v>
      </c>
      <c r="C52" s="55" t="s">
        <v>97</v>
      </c>
      <c r="D52" s="55" t="s">
        <v>77</v>
      </c>
      <c r="E52" s="56">
        <v>1</v>
      </c>
      <c r="F52" s="57">
        <v>46151</v>
      </c>
      <c r="G52" s="57">
        <v>46186</v>
      </c>
      <c r="H52" s="39"/>
      <c r="I52" s="39"/>
      <c r="J52" s="32"/>
      <c r="K52" s="32"/>
      <c r="L52" s="32"/>
      <c r="M52" s="32"/>
      <c r="N52" s="32"/>
      <c r="O52" s="32"/>
      <c r="P52" s="32"/>
      <c r="Q52" s="32"/>
      <c r="R52" s="32"/>
      <c r="S52" s="32"/>
      <c r="T52" s="32"/>
      <c r="U52" s="32"/>
      <c r="V52" s="32"/>
      <c r="W52" s="32"/>
      <c r="X52" s="32"/>
      <c r="Y52" s="32"/>
      <c r="Z52" s="47"/>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32"/>
      <c r="GR52" s="32"/>
      <c r="GS52" s="32"/>
      <c r="GT52" s="32"/>
      <c r="GU52" s="32"/>
      <c r="GV52" s="32"/>
      <c r="GW52" s="32"/>
      <c r="GX52" s="32"/>
      <c r="GY52" s="32"/>
      <c r="GZ52" s="32"/>
      <c r="HA52" s="32"/>
      <c r="HB52" s="32"/>
      <c r="HC52" s="32"/>
      <c r="HD52" s="32"/>
      <c r="HE52" s="32"/>
      <c r="HF52" s="32"/>
      <c r="HG52" s="32"/>
      <c r="HH52" s="32"/>
      <c r="HI52" s="32"/>
      <c r="HJ52" s="32"/>
      <c r="HK52" s="32"/>
      <c r="HL52" s="32"/>
      <c r="HM52" s="32"/>
      <c r="HN52" s="32"/>
      <c r="HO52" s="32"/>
      <c r="HP52" s="32"/>
      <c r="HQ52" s="32"/>
      <c r="HR52" s="32"/>
      <c r="HS52" s="32"/>
      <c r="HT52" s="32"/>
      <c r="HU52" s="32"/>
      <c r="HV52" s="32"/>
      <c r="HW52" s="32"/>
      <c r="HX52" s="32"/>
      <c r="HY52" s="32"/>
      <c r="HZ52" s="32"/>
      <c r="IA52" s="32"/>
      <c r="IB52" s="32"/>
      <c r="IC52" s="32"/>
      <c r="ID52" s="32"/>
      <c r="IE52" s="32"/>
      <c r="IF52" s="32"/>
      <c r="IG52" s="32"/>
      <c r="IH52" s="32"/>
      <c r="II52" s="32"/>
      <c r="IJ52" s="32"/>
      <c r="IK52" s="32"/>
      <c r="IL52" s="32"/>
      <c r="IM52" s="32"/>
      <c r="IN52" s="32"/>
      <c r="IO52" s="32"/>
      <c r="IP52" s="32"/>
      <c r="IQ52" s="32"/>
      <c r="IR52" s="32"/>
      <c r="IS52" s="32"/>
      <c r="IT52" s="32"/>
      <c r="IU52" s="32"/>
      <c r="IV52" s="32"/>
      <c r="IW52" s="32"/>
      <c r="IX52" s="32"/>
      <c r="IY52" s="32"/>
      <c r="IZ52" s="32"/>
      <c r="JA52" s="32"/>
      <c r="JB52" s="32"/>
      <c r="JC52" s="32"/>
      <c r="JD52" s="32"/>
      <c r="JE52" s="32"/>
      <c r="JF52" s="32"/>
      <c r="JG52" s="32"/>
      <c r="JH52" s="32"/>
      <c r="JI52" s="32"/>
      <c r="JJ52" s="32"/>
      <c r="JK52" s="32"/>
      <c r="JL52" s="32"/>
      <c r="JM52" s="32"/>
      <c r="JN52" s="32"/>
      <c r="JO52" s="32"/>
      <c r="JP52" s="32"/>
      <c r="JQ52" s="32"/>
      <c r="JR52" s="32"/>
      <c r="JS52" s="32"/>
      <c r="JT52" s="32"/>
      <c r="JU52" s="32"/>
      <c r="JV52" s="32"/>
      <c r="JW52" s="32"/>
      <c r="JX52" s="32"/>
      <c r="JY52" s="32"/>
      <c r="JZ52" s="32"/>
      <c r="KA52" s="32"/>
      <c r="KB52" s="32"/>
      <c r="KC52" s="32"/>
      <c r="KD52" s="32"/>
      <c r="KE52" s="32"/>
      <c r="KF52" s="32"/>
      <c r="KG52" s="32"/>
      <c r="KH52" s="32"/>
      <c r="KI52" s="32"/>
      <c r="KJ52" s="32"/>
      <c r="KK52" s="32"/>
      <c r="KL52" s="32"/>
      <c r="KM52" s="32"/>
      <c r="KN52" s="32"/>
      <c r="KO52" s="32"/>
      <c r="KP52" s="32"/>
      <c r="KQ52" s="32"/>
      <c r="KR52" s="32"/>
      <c r="KS52" s="32"/>
      <c r="KT52" s="32"/>
      <c r="KU52" s="32"/>
      <c r="KV52" s="32"/>
      <c r="KW52" s="32"/>
      <c r="KX52" s="32"/>
    </row>
    <row r="53" spans="1:310" s="40" customFormat="1" ht="30" customHeight="1" x14ac:dyDescent="0.25">
      <c r="A53" s="4"/>
      <c r="B53" s="54" t="s">
        <v>98</v>
      </c>
      <c r="C53" s="55" t="s">
        <v>99</v>
      </c>
      <c r="D53" s="55" t="s">
        <v>86</v>
      </c>
      <c r="E53" s="56">
        <v>1</v>
      </c>
      <c r="F53" s="57">
        <v>46164</v>
      </c>
      <c r="G53" s="57">
        <v>46186</v>
      </c>
      <c r="H53" s="39"/>
      <c r="I53" s="39"/>
      <c r="J53" s="32"/>
      <c r="K53" s="32"/>
      <c r="L53" s="32"/>
      <c r="M53" s="32"/>
      <c r="N53" s="32"/>
      <c r="O53" s="32"/>
      <c r="P53" s="32"/>
      <c r="Q53" s="32"/>
      <c r="R53" s="32"/>
      <c r="S53" s="32"/>
      <c r="T53" s="32"/>
      <c r="U53" s="32"/>
      <c r="V53" s="32"/>
      <c r="W53" s="32"/>
      <c r="X53" s="32"/>
      <c r="Y53" s="32"/>
      <c r="Z53" s="47"/>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32"/>
      <c r="GR53" s="32"/>
      <c r="GS53" s="32"/>
      <c r="GT53" s="32"/>
      <c r="GU53" s="32"/>
      <c r="GV53" s="32"/>
      <c r="GW53" s="32"/>
      <c r="GX53" s="32"/>
      <c r="GY53" s="32"/>
      <c r="GZ53" s="32"/>
      <c r="HA53" s="32"/>
      <c r="HB53" s="32"/>
      <c r="HC53" s="32"/>
      <c r="HD53" s="32"/>
      <c r="HE53" s="32"/>
      <c r="HF53" s="32"/>
      <c r="HG53" s="32"/>
      <c r="HH53" s="32"/>
      <c r="HI53" s="32"/>
      <c r="HJ53" s="32"/>
      <c r="HK53" s="32"/>
      <c r="HL53" s="32"/>
      <c r="HM53" s="32"/>
      <c r="HN53" s="32"/>
      <c r="HO53" s="32"/>
      <c r="HP53" s="32"/>
      <c r="HQ53" s="32"/>
      <c r="HR53" s="32"/>
      <c r="HS53" s="32"/>
      <c r="HT53" s="32"/>
      <c r="HU53" s="32"/>
      <c r="HV53" s="32"/>
      <c r="HW53" s="32"/>
      <c r="HX53" s="32"/>
      <c r="HY53" s="32"/>
      <c r="HZ53" s="32"/>
      <c r="IA53" s="32"/>
      <c r="IB53" s="32"/>
      <c r="IC53" s="32"/>
      <c r="ID53" s="32"/>
      <c r="IE53" s="32"/>
      <c r="IF53" s="32"/>
      <c r="IG53" s="32"/>
      <c r="IH53" s="32"/>
      <c r="II53" s="32"/>
      <c r="IJ53" s="32"/>
      <c r="IK53" s="32"/>
      <c r="IL53" s="32"/>
      <c r="IM53" s="32"/>
      <c r="IN53" s="32"/>
      <c r="IO53" s="32"/>
      <c r="IP53" s="32"/>
      <c r="IQ53" s="32"/>
      <c r="IR53" s="32"/>
      <c r="IS53" s="32"/>
      <c r="IT53" s="32"/>
      <c r="IU53" s="32"/>
      <c r="IV53" s="32"/>
      <c r="IW53" s="32"/>
      <c r="IX53" s="32"/>
      <c r="IY53" s="32"/>
      <c r="IZ53" s="32"/>
      <c r="JA53" s="32"/>
      <c r="JB53" s="32"/>
      <c r="JC53" s="32"/>
      <c r="JD53" s="32"/>
      <c r="JE53" s="32"/>
      <c r="JF53" s="32"/>
      <c r="JG53" s="32"/>
      <c r="JH53" s="32"/>
      <c r="JI53" s="32"/>
      <c r="JJ53" s="32"/>
      <c r="JK53" s="32"/>
      <c r="JL53" s="32"/>
      <c r="JM53" s="32"/>
      <c r="JN53" s="32"/>
      <c r="JO53" s="32"/>
      <c r="JP53" s="32"/>
      <c r="JQ53" s="32"/>
      <c r="JR53" s="32"/>
      <c r="JS53" s="32"/>
      <c r="JT53" s="32"/>
      <c r="JU53" s="32"/>
      <c r="JV53" s="32"/>
      <c r="JW53" s="32"/>
      <c r="JX53" s="32"/>
      <c r="JY53" s="32"/>
      <c r="JZ53" s="32"/>
      <c r="KA53" s="32"/>
      <c r="KB53" s="32"/>
      <c r="KC53" s="32"/>
      <c r="KD53" s="32"/>
      <c r="KE53" s="32"/>
      <c r="KF53" s="32"/>
      <c r="KG53" s="32"/>
      <c r="KH53" s="32"/>
      <c r="KI53" s="32"/>
      <c r="KJ53" s="32"/>
      <c r="KK53" s="32"/>
      <c r="KL53" s="32"/>
      <c r="KM53" s="32"/>
      <c r="KN53" s="32"/>
      <c r="KO53" s="32"/>
      <c r="KP53" s="32"/>
      <c r="KQ53" s="32"/>
      <c r="KR53" s="32"/>
      <c r="KS53" s="32"/>
      <c r="KT53" s="32"/>
      <c r="KU53" s="32"/>
      <c r="KV53" s="32"/>
      <c r="KW53" s="32"/>
      <c r="KX53" s="32"/>
    </row>
    <row r="54" spans="1:310" s="40" customFormat="1" ht="30" customHeight="1" x14ac:dyDescent="0.25">
      <c r="A54" s="4"/>
      <c r="B54" s="54" t="s">
        <v>98</v>
      </c>
      <c r="C54" s="55" t="s">
        <v>99</v>
      </c>
      <c r="D54" s="55" t="s">
        <v>95</v>
      </c>
      <c r="E54" s="56">
        <v>1</v>
      </c>
      <c r="F54" s="57">
        <v>46164</v>
      </c>
      <c r="G54" s="57">
        <v>46186</v>
      </c>
      <c r="H54" s="39"/>
      <c r="I54" s="39"/>
      <c r="J54" s="32"/>
      <c r="K54" s="32"/>
      <c r="L54" s="32"/>
      <c r="M54" s="32"/>
      <c r="N54" s="32"/>
      <c r="O54" s="32"/>
      <c r="P54" s="32"/>
      <c r="Q54" s="32"/>
      <c r="R54" s="32"/>
      <c r="S54" s="32"/>
      <c r="T54" s="32"/>
      <c r="U54" s="32"/>
      <c r="V54" s="32"/>
      <c r="W54" s="32"/>
      <c r="X54" s="32"/>
      <c r="Y54" s="32"/>
      <c r="Z54" s="47"/>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32"/>
      <c r="GR54" s="32"/>
      <c r="GS54" s="32"/>
      <c r="GT54" s="32"/>
      <c r="GU54" s="32"/>
      <c r="GV54" s="32"/>
      <c r="GW54" s="32"/>
      <c r="GX54" s="32"/>
      <c r="GY54" s="32"/>
      <c r="GZ54" s="32"/>
      <c r="HA54" s="32"/>
      <c r="HB54" s="32"/>
      <c r="HC54" s="32"/>
      <c r="HD54" s="32"/>
      <c r="HE54" s="32"/>
      <c r="HF54" s="32"/>
      <c r="HG54" s="32"/>
      <c r="HH54" s="32"/>
      <c r="HI54" s="32"/>
      <c r="HJ54" s="32"/>
      <c r="HK54" s="32"/>
      <c r="HL54" s="32"/>
      <c r="HM54" s="32"/>
      <c r="HN54" s="32"/>
      <c r="HO54" s="32"/>
      <c r="HP54" s="32"/>
      <c r="HQ54" s="32"/>
      <c r="HR54" s="32"/>
      <c r="HS54" s="32"/>
      <c r="HT54" s="32"/>
      <c r="HU54" s="32"/>
      <c r="HV54" s="32"/>
      <c r="HW54" s="32"/>
      <c r="HX54" s="32"/>
      <c r="HY54" s="32"/>
      <c r="HZ54" s="32"/>
      <c r="IA54" s="32"/>
      <c r="IB54" s="32"/>
      <c r="IC54" s="32"/>
      <c r="ID54" s="32"/>
      <c r="IE54" s="32"/>
      <c r="IF54" s="32"/>
      <c r="IG54" s="32"/>
      <c r="IH54" s="32"/>
      <c r="II54" s="32"/>
      <c r="IJ54" s="32"/>
      <c r="IK54" s="32"/>
      <c r="IL54" s="32"/>
      <c r="IM54" s="32"/>
      <c r="IN54" s="32"/>
      <c r="IO54" s="32"/>
      <c r="IP54" s="32"/>
      <c r="IQ54" s="32"/>
      <c r="IR54" s="32"/>
      <c r="IS54" s="32"/>
      <c r="IT54" s="32"/>
      <c r="IU54" s="32"/>
      <c r="IV54" s="32"/>
      <c r="IW54" s="32"/>
      <c r="IX54" s="32"/>
      <c r="IY54" s="32"/>
      <c r="IZ54" s="32"/>
      <c r="JA54" s="32"/>
      <c r="JB54" s="32"/>
      <c r="JC54" s="32"/>
      <c r="JD54" s="32"/>
      <c r="JE54" s="32"/>
      <c r="JF54" s="32"/>
      <c r="JG54" s="32"/>
      <c r="JH54" s="32"/>
      <c r="JI54" s="32"/>
      <c r="JJ54" s="32"/>
      <c r="JK54" s="32"/>
      <c r="JL54" s="32"/>
      <c r="JM54" s="32"/>
      <c r="JN54" s="32"/>
      <c r="JO54" s="32"/>
      <c r="JP54" s="32"/>
      <c r="JQ54" s="32"/>
      <c r="JR54" s="32"/>
      <c r="JS54" s="32"/>
      <c r="JT54" s="32"/>
      <c r="JU54" s="32"/>
      <c r="JV54" s="32"/>
      <c r="JW54" s="32"/>
      <c r="JX54" s="32"/>
      <c r="JY54" s="32"/>
      <c r="JZ54" s="32"/>
      <c r="KA54" s="32"/>
      <c r="KB54" s="32"/>
      <c r="KC54" s="32"/>
      <c r="KD54" s="32"/>
      <c r="KE54" s="32"/>
      <c r="KF54" s="32"/>
      <c r="KG54" s="32"/>
      <c r="KH54" s="32"/>
      <c r="KI54" s="32"/>
      <c r="KJ54" s="32"/>
      <c r="KK54" s="32"/>
      <c r="KL54" s="32"/>
      <c r="KM54" s="32"/>
      <c r="KN54" s="32"/>
      <c r="KO54" s="32"/>
      <c r="KP54" s="32"/>
      <c r="KQ54" s="32"/>
      <c r="KR54" s="32"/>
      <c r="KS54" s="32"/>
      <c r="KT54" s="32"/>
      <c r="KU54" s="32"/>
      <c r="KV54" s="32"/>
      <c r="KW54" s="32"/>
      <c r="KX54" s="32"/>
    </row>
    <row r="55" spans="1:310" s="40" customFormat="1" ht="30" customHeight="1" x14ac:dyDescent="0.25">
      <c r="A55" s="4" t="s">
        <v>90</v>
      </c>
      <c r="B55" s="54" t="s">
        <v>100</v>
      </c>
      <c r="C55" s="55" t="s">
        <v>101</v>
      </c>
      <c r="D55" s="55" t="s">
        <v>102</v>
      </c>
      <c r="E55" s="56">
        <v>1</v>
      </c>
      <c r="F55" s="57">
        <v>46164</v>
      </c>
      <c r="G55" s="57">
        <v>46185</v>
      </c>
      <c r="H55" s="39"/>
      <c r="I55" s="39"/>
      <c r="J55" s="32"/>
      <c r="K55" s="32"/>
      <c r="L55" s="32"/>
      <c r="M55" s="32"/>
      <c r="N55" s="32"/>
      <c r="O55" s="32"/>
      <c r="P55" s="32"/>
      <c r="Q55" s="32"/>
      <c r="R55" s="32"/>
      <c r="S55" s="32"/>
      <c r="T55" s="32"/>
      <c r="U55" s="32"/>
      <c r="V55" s="32"/>
      <c r="W55" s="32"/>
      <c r="X55" s="32"/>
      <c r="Y55" s="32"/>
      <c r="Z55" s="47"/>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32"/>
      <c r="GR55" s="32"/>
      <c r="GS55" s="32"/>
      <c r="GT55" s="32"/>
      <c r="GU55" s="32"/>
      <c r="GV55" s="32"/>
      <c r="GW55" s="32"/>
      <c r="GX55" s="32"/>
      <c r="GY55" s="32"/>
      <c r="GZ55" s="32"/>
      <c r="HA55" s="32"/>
      <c r="HB55" s="32"/>
      <c r="HC55" s="32"/>
      <c r="HD55" s="32"/>
      <c r="HE55" s="32"/>
      <c r="HF55" s="32"/>
      <c r="HG55" s="32"/>
      <c r="HH55" s="32"/>
      <c r="HI55" s="32"/>
      <c r="HJ55" s="32"/>
      <c r="HK55" s="32"/>
      <c r="HL55" s="32"/>
      <c r="HM55" s="32"/>
      <c r="HN55" s="32"/>
      <c r="HO55" s="32"/>
      <c r="HP55" s="32"/>
      <c r="HQ55" s="32"/>
      <c r="HR55" s="32"/>
      <c r="HS55" s="32"/>
      <c r="HT55" s="32"/>
      <c r="HU55" s="32"/>
      <c r="HV55" s="32"/>
      <c r="HW55" s="32"/>
      <c r="HX55" s="32"/>
      <c r="HY55" s="32"/>
      <c r="HZ55" s="32"/>
      <c r="IA55" s="32"/>
      <c r="IB55" s="32"/>
      <c r="IC55" s="32"/>
      <c r="ID55" s="32"/>
      <c r="IE55" s="32"/>
      <c r="IF55" s="32"/>
      <c r="IG55" s="32"/>
      <c r="IH55" s="32"/>
      <c r="II55" s="32"/>
      <c r="IJ55" s="32"/>
      <c r="IK55" s="32"/>
      <c r="IL55" s="32"/>
      <c r="IM55" s="32"/>
      <c r="IN55" s="32"/>
      <c r="IO55" s="32"/>
      <c r="IP55" s="32"/>
      <c r="IQ55" s="32"/>
      <c r="IR55" s="32"/>
      <c r="IS55" s="32"/>
      <c r="IT55" s="32"/>
      <c r="IU55" s="32"/>
      <c r="IV55" s="32"/>
      <c r="IW55" s="32"/>
      <c r="IX55" s="32"/>
      <c r="IY55" s="32"/>
      <c r="IZ55" s="32"/>
      <c r="JA55" s="32"/>
      <c r="JB55" s="32"/>
      <c r="JC55" s="32"/>
      <c r="JD55" s="32"/>
      <c r="JE55" s="32"/>
      <c r="JF55" s="32"/>
      <c r="JG55" s="32"/>
      <c r="JH55" s="32"/>
      <c r="JI55" s="32"/>
      <c r="JJ55" s="32"/>
      <c r="JK55" s="32"/>
      <c r="JL55" s="32"/>
      <c r="JM55" s="32"/>
      <c r="JN55" s="32"/>
      <c r="JO55" s="32"/>
      <c r="JP55" s="32"/>
      <c r="JQ55" s="32"/>
      <c r="JR55" s="32"/>
      <c r="JS55" s="32"/>
      <c r="JT55" s="32"/>
      <c r="JU55" s="32"/>
      <c r="JV55" s="32"/>
      <c r="JW55" s="32"/>
      <c r="JX55" s="32"/>
      <c r="JY55" s="32"/>
      <c r="JZ55" s="32"/>
      <c r="KA55" s="32"/>
      <c r="KB55" s="32"/>
      <c r="KC55" s="32"/>
      <c r="KD55" s="32"/>
      <c r="KE55" s="32"/>
      <c r="KF55" s="32"/>
      <c r="KG55" s="32"/>
      <c r="KH55" s="32"/>
      <c r="KI55" s="32"/>
      <c r="KJ55" s="32"/>
      <c r="KK55" s="32"/>
      <c r="KL55" s="32"/>
      <c r="KM55" s="32"/>
      <c r="KN55" s="32"/>
      <c r="KO55" s="32"/>
      <c r="KP55" s="32"/>
      <c r="KQ55" s="32"/>
      <c r="KR55" s="32"/>
      <c r="KS55" s="32"/>
      <c r="KT55" s="32"/>
      <c r="KU55" s="32"/>
      <c r="KV55" s="32"/>
      <c r="KW55" s="32"/>
      <c r="KX55" s="32"/>
    </row>
    <row r="56" spans="1:310" s="40" customFormat="1" ht="30" customHeight="1" x14ac:dyDescent="0.25">
      <c r="A56" s="4"/>
      <c r="B56" s="54" t="s">
        <v>103</v>
      </c>
      <c r="C56" s="55" t="s">
        <v>81</v>
      </c>
      <c r="D56" s="55" t="s">
        <v>89</v>
      </c>
      <c r="E56" s="56">
        <v>1</v>
      </c>
      <c r="F56" s="57">
        <v>46165</v>
      </c>
      <c r="G56" s="57">
        <v>46184</v>
      </c>
      <c r="H56" s="39"/>
      <c r="I56" s="39"/>
      <c r="J56" s="32"/>
      <c r="K56" s="32"/>
      <c r="L56" s="32"/>
      <c r="M56" s="32"/>
      <c r="N56" s="32"/>
      <c r="O56" s="32"/>
      <c r="P56" s="32"/>
      <c r="Q56" s="32"/>
      <c r="R56" s="32"/>
      <c r="S56" s="32"/>
      <c r="T56" s="32"/>
      <c r="U56" s="32"/>
      <c r="V56" s="32"/>
      <c r="W56" s="32"/>
      <c r="X56" s="32"/>
      <c r="Y56" s="32"/>
      <c r="Z56" s="47"/>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32"/>
      <c r="GR56" s="32"/>
      <c r="GS56" s="32"/>
      <c r="GT56" s="32"/>
      <c r="GU56" s="32"/>
      <c r="GV56" s="32"/>
      <c r="GW56" s="32"/>
      <c r="GX56" s="32"/>
      <c r="GY56" s="32"/>
      <c r="GZ56" s="32"/>
      <c r="HA56" s="32"/>
      <c r="HB56" s="32"/>
      <c r="HC56" s="32"/>
      <c r="HD56" s="32"/>
      <c r="HE56" s="32"/>
      <c r="HF56" s="32"/>
      <c r="HG56" s="32"/>
      <c r="HH56" s="32"/>
      <c r="HI56" s="32"/>
      <c r="HJ56" s="32"/>
      <c r="HK56" s="32"/>
      <c r="HL56" s="32"/>
      <c r="HM56" s="32"/>
      <c r="HN56" s="32"/>
      <c r="HO56" s="32"/>
      <c r="HP56" s="32"/>
      <c r="HQ56" s="32"/>
      <c r="HR56" s="32"/>
      <c r="HS56" s="32"/>
      <c r="HT56" s="32"/>
      <c r="HU56" s="32"/>
      <c r="HV56" s="32"/>
      <c r="HW56" s="32"/>
      <c r="HX56" s="32"/>
      <c r="HY56" s="32"/>
      <c r="HZ56" s="32"/>
      <c r="IA56" s="32"/>
      <c r="IB56" s="32"/>
      <c r="IC56" s="32"/>
      <c r="ID56" s="32"/>
      <c r="IE56" s="32"/>
      <c r="IF56" s="32"/>
      <c r="IG56" s="32"/>
      <c r="IH56" s="32"/>
      <c r="II56" s="32"/>
      <c r="IJ56" s="32"/>
      <c r="IK56" s="32"/>
      <c r="IL56" s="32"/>
      <c r="IM56" s="32"/>
      <c r="IN56" s="32"/>
      <c r="IO56" s="32"/>
      <c r="IP56" s="32"/>
      <c r="IQ56" s="32"/>
      <c r="IR56" s="32"/>
      <c r="IS56" s="32"/>
      <c r="IT56" s="32"/>
      <c r="IU56" s="32"/>
      <c r="IV56" s="32"/>
      <c r="IW56" s="32"/>
      <c r="IX56" s="32"/>
      <c r="IY56" s="32"/>
      <c r="IZ56" s="32"/>
      <c r="JA56" s="32"/>
      <c r="JB56" s="32"/>
      <c r="JC56" s="32"/>
      <c r="JD56" s="32"/>
      <c r="JE56" s="32"/>
      <c r="JF56" s="32"/>
      <c r="JG56" s="32"/>
      <c r="JH56" s="32"/>
      <c r="JI56" s="32"/>
      <c r="JJ56" s="32"/>
      <c r="JK56" s="32"/>
      <c r="JL56" s="32"/>
      <c r="JM56" s="32"/>
      <c r="JN56" s="32"/>
      <c r="JO56" s="32"/>
      <c r="JP56" s="32"/>
      <c r="JQ56" s="32"/>
      <c r="JR56" s="32"/>
      <c r="JS56" s="32"/>
      <c r="JT56" s="32"/>
      <c r="JU56" s="32"/>
      <c r="JV56" s="32"/>
      <c r="JW56" s="32"/>
      <c r="JX56" s="32"/>
      <c r="JY56" s="32"/>
      <c r="JZ56" s="32"/>
      <c r="KA56" s="32"/>
      <c r="KB56" s="32"/>
      <c r="KC56" s="32"/>
      <c r="KD56" s="32"/>
      <c r="KE56" s="32"/>
      <c r="KF56" s="32"/>
      <c r="KG56" s="32"/>
      <c r="KH56" s="32"/>
      <c r="KI56" s="32"/>
      <c r="KJ56" s="32"/>
      <c r="KK56" s="32"/>
      <c r="KL56" s="32"/>
      <c r="KM56" s="32"/>
      <c r="KN56" s="32"/>
      <c r="KO56" s="32"/>
      <c r="KP56" s="32"/>
      <c r="KQ56" s="32"/>
      <c r="KR56" s="32"/>
      <c r="KS56" s="32"/>
      <c r="KT56" s="32"/>
      <c r="KU56" s="32"/>
      <c r="KV56" s="32"/>
      <c r="KW56" s="32"/>
      <c r="KX56" s="32"/>
    </row>
    <row r="57" spans="1:310" s="40" customFormat="1" ht="30" customHeight="1" x14ac:dyDescent="0.25">
      <c r="A57" s="4"/>
      <c r="B57" s="54" t="s">
        <v>104</v>
      </c>
      <c r="C57" s="55" t="s">
        <v>76</v>
      </c>
      <c r="D57" s="55" t="s">
        <v>77</v>
      </c>
      <c r="E57" s="56">
        <v>1</v>
      </c>
      <c r="F57" s="57">
        <v>46165</v>
      </c>
      <c r="G57" s="57">
        <v>46178</v>
      </c>
      <c r="H57" s="39"/>
      <c r="I57" s="39"/>
      <c r="J57" s="32"/>
      <c r="K57" s="32"/>
      <c r="L57" s="32"/>
      <c r="M57" s="32"/>
      <c r="N57" s="32"/>
      <c r="O57" s="32"/>
      <c r="P57" s="32"/>
      <c r="Q57" s="32"/>
      <c r="R57" s="32"/>
      <c r="S57" s="32"/>
      <c r="T57" s="32"/>
      <c r="U57" s="32"/>
      <c r="V57" s="32"/>
      <c r="W57" s="32"/>
      <c r="X57" s="32"/>
      <c r="Y57" s="32"/>
      <c r="Z57" s="47"/>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32"/>
      <c r="GR57" s="32"/>
      <c r="GS57" s="32"/>
      <c r="GT57" s="32"/>
      <c r="GU57" s="32"/>
      <c r="GV57" s="32"/>
      <c r="GW57" s="32"/>
      <c r="GX57" s="32"/>
      <c r="GY57" s="32"/>
      <c r="GZ57" s="32"/>
      <c r="HA57" s="32"/>
      <c r="HB57" s="32"/>
      <c r="HC57" s="32"/>
      <c r="HD57" s="32"/>
      <c r="HE57" s="32"/>
      <c r="HF57" s="32"/>
      <c r="HG57" s="32"/>
      <c r="HH57" s="32"/>
      <c r="HI57" s="32"/>
      <c r="HJ57" s="32"/>
      <c r="HK57" s="32"/>
      <c r="HL57" s="32"/>
      <c r="HM57" s="32"/>
      <c r="HN57" s="32"/>
      <c r="HO57" s="32"/>
      <c r="HP57" s="32"/>
      <c r="HQ57" s="32"/>
      <c r="HR57" s="32"/>
      <c r="HS57" s="32"/>
      <c r="HT57" s="32"/>
      <c r="HU57" s="32"/>
      <c r="HV57" s="32"/>
      <c r="HW57" s="32"/>
      <c r="HX57" s="32"/>
      <c r="HY57" s="32"/>
      <c r="HZ57" s="32"/>
      <c r="IA57" s="32"/>
      <c r="IB57" s="32"/>
      <c r="IC57" s="32"/>
      <c r="ID57" s="32"/>
      <c r="IE57" s="32"/>
      <c r="IF57" s="32"/>
      <c r="IG57" s="32"/>
      <c r="IH57" s="32"/>
      <c r="II57" s="32"/>
      <c r="IJ57" s="32"/>
      <c r="IK57" s="32"/>
      <c r="IL57" s="32"/>
      <c r="IM57" s="32"/>
      <c r="IN57" s="32"/>
      <c r="IO57" s="32"/>
      <c r="IP57" s="32"/>
      <c r="IQ57" s="32"/>
      <c r="IR57" s="32"/>
      <c r="IS57" s="32"/>
      <c r="IT57" s="32"/>
      <c r="IU57" s="32"/>
      <c r="IV57" s="32"/>
      <c r="IW57" s="32"/>
      <c r="IX57" s="32"/>
      <c r="IY57" s="32"/>
      <c r="IZ57" s="32"/>
      <c r="JA57" s="32"/>
      <c r="JB57" s="32"/>
      <c r="JC57" s="32"/>
      <c r="JD57" s="32"/>
      <c r="JE57" s="32"/>
      <c r="JF57" s="32"/>
      <c r="JG57" s="32"/>
      <c r="JH57" s="32"/>
      <c r="JI57" s="32"/>
      <c r="JJ57" s="32"/>
      <c r="JK57" s="32"/>
      <c r="JL57" s="32"/>
      <c r="JM57" s="32"/>
      <c r="JN57" s="32"/>
      <c r="JO57" s="32"/>
      <c r="JP57" s="32"/>
      <c r="JQ57" s="32"/>
      <c r="JR57" s="32"/>
      <c r="JS57" s="32"/>
      <c r="JT57" s="32"/>
      <c r="JU57" s="32"/>
      <c r="JV57" s="32"/>
      <c r="JW57" s="32"/>
      <c r="JX57" s="32"/>
      <c r="JY57" s="32"/>
      <c r="JZ57" s="32"/>
      <c r="KA57" s="32"/>
      <c r="KB57" s="32"/>
      <c r="KC57" s="32"/>
      <c r="KD57" s="32"/>
      <c r="KE57" s="32"/>
      <c r="KF57" s="32"/>
      <c r="KG57" s="32"/>
      <c r="KH57" s="32"/>
      <c r="KI57" s="32"/>
      <c r="KJ57" s="32"/>
      <c r="KK57" s="32"/>
      <c r="KL57" s="32"/>
      <c r="KM57" s="32"/>
      <c r="KN57" s="32"/>
      <c r="KO57" s="32"/>
      <c r="KP57" s="32"/>
      <c r="KQ57" s="32"/>
      <c r="KR57" s="32"/>
      <c r="KS57" s="32"/>
      <c r="KT57" s="32"/>
      <c r="KU57" s="32"/>
      <c r="KV57" s="32"/>
      <c r="KW57" s="32"/>
      <c r="KX57" s="32"/>
    </row>
    <row r="58" spans="1:310" s="40" customFormat="1" ht="30" customHeight="1" x14ac:dyDescent="0.25">
      <c r="A58" s="4"/>
      <c r="B58" s="54" t="s">
        <v>81</v>
      </c>
      <c r="C58" s="55" t="s">
        <v>105</v>
      </c>
      <c r="D58" s="55" t="s">
        <v>106</v>
      </c>
      <c r="E58" s="56">
        <v>1</v>
      </c>
      <c r="F58" s="57">
        <v>46165</v>
      </c>
      <c r="G58" s="57">
        <v>46155</v>
      </c>
      <c r="H58" s="39"/>
      <c r="I58" s="39"/>
      <c r="J58" s="32"/>
      <c r="K58" s="32"/>
      <c r="L58" s="32"/>
      <c r="M58" s="32"/>
      <c r="N58" s="32"/>
      <c r="O58" s="32"/>
      <c r="P58" s="32"/>
      <c r="Q58" s="32"/>
      <c r="R58" s="32"/>
      <c r="S58" s="32"/>
      <c r="T58" s="32"/>
      <c r="U58" s="32"/>
      <c r="V58" s="32"/>
      <c r="W58" s="32"/>
      <c r="X58" s="32"/>
      <c r="Y58" s="32"/>
      <c r="Z58" s="47"/>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32"/>
      <c r="GR58" s="32"/>
      <c r="GS58" s="32"/>
      <c r="GT58" s="32"/>
      <c r="GU58" s="32"/>
      <c r="GV58" s="32"/>
      <c r="GW58" s="32"/>
      <c r="GX58" s="32"/>
      <c r="GY58" s="32"/>
      <c r="GZ58" s="32"/>
      <c r="HA58" s="32"/>
      <c r="HB58" s="32"/>
      <c r="HC58" s="32"/>
      <c r="HD58" s="32"/>
      <c r="HE58" s="32"/>
      <c r="HF58" s="32"/>
      <c r="HG58" s="32"/>
      <c r="HH58" s="32"/>
      <c r="HI58" s="32"/>
      <c r="HJ58" s="32"/>
      <c r="HK58" s="32"/>
      <c r="HL58" s="32"/>
      <c r="HM58" s="32"/>
      <c r="HN58" s="32"/>
      <c r="HO58" s="32"/>
      <c r="HP58" s="32"/>
      <c r="HQ58" s="32"/>
      <c r="HR58" s="32"/>
      <c r="HS58" s="32"/>
      <c r="HT58" s="32"/>
      <c r="HU58" s="32"/>
      <c r="HV58" s="32"/>
      <c r="HW58" s="32"/>
      <c r="HX58" s="32"/>
      <c r="HY58" s="32"/>
      <c r="HZ58" s="32"/>
      <c r="IA58" s="32"/>
      <c r="IB58" s="32"/>
      <c r="IC58" s="32"/>
      <c r="ID58" s="32"/>
      <c r="IE58" s="32"/>
      <c r="IF58" s="32"/>
      <c r="IG58" s="32"/>
      <c r="IH58" s="32"/>
      <c r="II58" s="32"/>
      <c r="IJ58" s="32"/>
      <c r="IK58" s="32"/>
      <c r="IL58" s="32"/>
      <c r="IM58" s="32"/>
      <c r="IN58" s="32"/>
      <c r="IO58" s="32"/>
      <c r="IP58" s="32"/>
      <c r="IQ58" s="32"/>
      <c r="IR58" s="32"/>
      <c r="IS58" s="32"/>
      <c r="IT58" s="32"/>
      <c r="IU58" s="32"/>
      <c r="IV58" s="32"/>
      <c r="IW58" s="32"/>
      <c r="IX58" s="32"/>
      <c r="IY58" s="32"/>
      <c r="IZ58" s="32"/>
      <c r="JA58" s="32"/>
      <c r="JB58" s="32"/>
      <c r="JC58" s="32"/>
      <c r="JD58" s="32"/>
      <c r="JE58" s="32"/>
      <c r="JF58" s="32"/>
      <c r="JG58" s="32"/>
      <c r="JH58" s="32"/>
      <c r="JI58" s="32"/>
      <c r="JJ58" s="32"/>
      <c r="JK58" s="32"/>
      <c r="JL58" s="32"/>
      <c r="JM58" s="32"/>
      <c r="JN58" s="32"/>
      <c r="JO58" s="32"/>
      <c r="JP58" s="32"/>
      <c r="JQ58" s="32"/>
      <c r="JR58" s="32"/>
      <c r="JS58" s="32"/>
      <c r="JT58" s="32"/>
      <c r="JU58" s="32"/>
      <c r="JV58" s="32"/>
      <c r="JW58" s="32"/>
      <c r="JX58" s="32"/>
      <c r="JY58" s="32"/>
      <c r="JZ58" s="32"/>
      <c r="KA58" s="32"/>
      <c r="KB58" s="32"/>
      <c r="KC58" s="32"/>
      <c r="KD58" s="32"/>
      <c r="KE58" s="32"/>
      <c r="KF58" s="32"/>
      <c r="KG58" s="32"/>
      <c r="KH58" s="32"/>
      <c r="KI58" s="32"/>
      <c r="KJ58" s="32"/>
      <c r="KK58" s="32"/>
      <c r="KL58" s="32"/>
      <c r="KM58" s="32"/>
      <c r="KN58" s="32"/>
      <c r="KO58" s="32"/>
      <c r="KP58" s="32"/>
      <c r="KQ58" s="32"/>
      <c r="KR58" s="32"/>
      <c r="KS58" s="32"/>
      <c r="KT58" s="32"/>
      <c r="KU58" s="32"/>
      <c r="KV58" s="32"/>
      <c r="KW58" s="32"/>
      <c r="KX58" s="32"/>
    </row>
    <row r="59" spans="1:310" s="40" customFormat="1" ht="30" customHeight="1" x14ac:dyDescent="0.25">
      <c r="A59" s="4"/>
      <c r="B59" s="54" t="s">
        <v>81</v>
      </c>
      <c r="C59" s="55" t="s">
        <v>105</v>
      </c>
      <c r="D59" s="55" t="s">
        <v>107</v>
      </c>
      <c r="E59" s="56">
        <v>1</v>
      </c>
      <c r="F59" s="57">
        <v>46165</v>
      </c>
      <c r="G59" s="57">
        <v>46186</v>
      </c>
      <c r="H59" s="39"/>
      <c r="I59" s="39">
        <f t="shared" ref="I59:I93" si="10">IF(OR(ISBLANK(task_start),ISBLANK(task_end)),"",task_end-task_start+1)</f>
        <v>22</v>
      </c>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32"/>
      <c r="GR59" s="32"/>
      <c r="GS59" s="32"/>
      <c r="GT59" s="32"/>
      <c r="GU59" s="32"/>
      <c r="GV59" s="32"/>
      <c r="GW59" s="32"/>
      <c r="GX59" s="32"/>
      <c r="GY59" s="32"/>
      <c r="GZ59" s="32"/>
      <c r="HA59" s="32"/>
      <c r="HB59" s="32"/>
      <c r="HC59" s="32"/>
      <c r="HD59" s="32"/>
      <c r="HE59" s="32"/>
      <c r="HF59" s="32"/>
      <c r="HG59" s="32"/>
      <c r="HH59" s="32"/>
      <c r="HI59" s="32"/>
      <c r="HJ59" s="32"/>
      <c r="HK59" s="32"/>
      <c r="HL59" s="32"/>
      <c r="HM59" s="32"/>
      <c r="HN59" s="32"/>
      <c r="HO59" s="32"/>
      <c r="HP59" s="32"/>
      <c r="HQ59" s="32"/>
      <c r="HR59" s="32"/>
      <c r="HS59" s="32"/>
      <c r="HT59" s="32"/>
      <c r="HU59" s="32"/>
      <c r="HV59" s="32"/>
      <c r="HW59" s="32"/>
      <c r="HX59" s="32"/>
      <c r="HY59" s="32"/>
      <c r="HZ59" s="32"/>
      <c r="IA59" s="32"/>
      <c r="IB59" s="32"/>
      <c r="IC59" s="32"/>
      <c r="ID59" s="32"/>
      <c r="IE59" s="32"/>
      <c r="IF59" s="32"/>
      <c r="IG59" s="32"/>
      <c r="IH59" s="32"/>
      <c r="II59" s="32"/>
      <c r="IJ59" s="32"/>
      <c r="IK59" s="32"/>
      <c r="IL59" s="32"/>
      <c r="IM59" s="32"/>
      <c r="IN59" s="32"/>
      <c r="IO59" s="32"/>
      <c r="IP59" s="32"/>
      <c r="IQ59" s="32"/>
      <c r="IR59" s="32"/>
      <c r="IS59" s="32"/>
      <c r="IT59" s="32"/>
      <c r="IU59" s="32"/>
      <c r="IV59" s="32"/>
      <c r="IW59" s="32"/>
      <c r="IX59" s="32"/>
      <c r="IY59" s="32"/>
      <c r="IZ59" s="32"/>
      <c r="JA59" s="32"/>
      <c r="JB59" s="32"/>
      <c r="JC59" s="32"/>
      <c r="JD59" s="32"/>
      <c r="JE59" s="32"/>
      <c r="JF59" s="32"/>
      <c r="JG59" s="32"/>
      <c r="JH59" s="32"/>
      <c r="JI59" s="32"/>
      <c r="JJ59" s="32"/>
      <c r="JK59" s="32"/>
      <c r="JL59" s="32"/>
      <c r="JM59" s="32"/>
      <c r="JN59" s="32"/>
      <c r="JO59" s="32"/>
      <c r="JP59" s="32"/>
      <c r="JQ59" s="32"/>
      <c r="JR59" s="32"/>
      <c r="JS59" s="32"/>
      <c r="JT59" s="32"/>
      <c r="JU59" s="32"/>
      <c r="JV59" s="32"/>
      <c r="JW59" s="32"/>
      <c r="JX59" s="32"/>
      <c r="JY59" s="32"/>
      <c r="JZ59" s="32"/>
      <c r="KA59" s="32"/>
      <c r="KB59" s="32"/>
      <c r="KC59" s="32"/>
      <c r="KD59" s="32"/>
      <c r="KE59" s="32"/>
      <c r="KF59" s="32"/>
      <c r="KG59" s="32"/>
      <c r="KH59" s="32"/>
      <c r="KI59" s="32"/>
      <c r="KJ59" s="32"/>
      <c r="KK59" s="32"/>
      <c r="KL59" s="32"/>
      <c r="KM59" s="32"/>
      <c r="KN59" s="32"/>
      <c r="KO59" s="32"/>
      <c r="KP59" s="32"/>
      <c r="KQ59" s="32"/>
      <c r="KR59" s="32"/>
      <c r="KS59" s="32"/>
      <c r="KT59" s="32"/>
      <c r="KU59" s="32"/>
      <c r="KV59" s="32"/>
      <c r="KW59" s="32"/>
      <c r="KX59" s="32"/>
    </row>
    <row r="60" spans="1:310" s="40" customFormat="1" ht="30" customHeight="1" x14ac:dyDescent="0.25">
      <c r="A60" s="4"/>
      <c r="B60" s="58" t="s">
        <v>108</v>
      </c>
      <c r="C60" s="59"/>
      <c r="D60" s="60"/>
      <c r="E60" s="61"/>
      <c r="F60" s="62"/>
      <c r="G60" s="63"/>
      <c r="H60" s="39"/>
      <c r="I60" s="39" t="str">
        <f t="shared" si="10"/>
        <v/>
      </c>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32"/>
      <c r="GR60" s="32"/>
      <c r="GS60" s="32"/>
      <c r="GT60" s="32"/>
      <c r="GU60" s="32"/>
      <c r="GV60" s="32"/>
      <c r="GW60" s="32"/>
      <c r="GX60" s="32"/>
      <c r="GY60" s="32"/>
      <c r="GZ60" s="32"/>
      <c r="HA60" s="32"/>
      <c r="HB60" s="32"/>
      <c r="HC60" s="32"/>
      <c r="HD60" s="32"/>
      <c r="HE60" s="32"/>
      <c r="HF60" s="32"/>
      <c r="HG60" s="32"/>
      <c r="HH60" s="32"/>
      <c r="HI60" s="32"/>
      <c r="HJ60" s="32"/>
      <c r="HK60" s="32"/>
      <c r="HL60" s="32"/>
      <c r="HM60" s="32"/>
      <c r="HN60" s="32"/>
      <c r="HO60" s="32"/>
      <c r="HP60" s="32"/>
      <c r="HQ60" s="32"/>
      <c r="HR60" s="32"/>
      <c r="HS60" s="32"/>
      <c r="HT60" s="32"/>
      <c r="HU60" s="32"/>
      <c r="HV60" s="32"/>
      <c r="HW60" s="32"/>
      <c r="HX60" s="32"/>
      <c r="HY60" s="32"/>
      <c r="HZ60" s="32"/>
      <c r="IA60" s="32"/>
      <c r="IB60" s="32"/>
      <c r="IC60" s="32"/>
      <c r="ID60" s="32"/>
      <c r="IE60" s="32"/>
      <c r="IF60" s="32"/>
      <c r="IG60" s="32"/>
      <c r="IH60" s="32"/>
      <c r="II60" s="32"/>
      <c r="IJ60" s="32"/>
      <c r="IK60" s="32"/>
      <c r="IL60" s="32"/>
      <c r="IM60" s="32"/>
      <c r="IN60" s="32"/>
      <c r="IO60" s="32"/>
      <c r="IP60" s="32"/>
      <c r="IQ60" s="32"/>
      <c r="IR60" s="32"/>
      <c r="IS60" s="32"/>
      <c r="IT60" s="32"/>
      <c r="IU60" s="32"/>
      <c r="IV60" s="32"/>
      <c r="IW60" s="32"/>
      <c r="IX60" s="32"/>
      <c r="IY60" s="32"/>
      <c r="IZ60" s="32"/>
      <c r="JA60" s="32"/>
      <c r="JB60" s="32"/>
      <c r="JC60" s="32"/>
      <c r="JD60" s="32"/>
      <c r="JE60" s="32"/>
      <c r="JF60" s="32"/>
      <c r="JG60" s="32"/>
      <c r="JH60" s="32"/>
      <c r="JI60" s="32"/>
      <c r="JJ60" s="32"/>
      <c r="JK60" s="32"/>
      <c r="JL60" s="32"/>
      <c r="JM60" s="32"/>
      <c r="JN60" s="32"/>
      <c r="JO60" s="32"/>
      <c r="JP60" s="32"/>
      <c r="JQ60" s="32"/>
      <c r="JR60" s="32"/>
      <c r="JS60" s="32"/>
      <c r="JT60" s="32"/>
      <c r="JU60" s="32"/>
      <c r="JV60" s="32"/>
      <c r="JW60" s="32"/>
      <c r="JX60" s="32"/>
      <c r="JY60" s="32"/>
      <c r="JZ60" s="32"/>
      <c r="KA60" s="32"/>
      <c r="KB60" s="32"/>
      <c r="KC60" s="32"/>
      <c r="KD60" s="32"/>
      <c r="KE60" s="32"/>
      <c r="KF60" s="32"/>
      <c r="KG60" s="32"/>
      <c r="KH60" s="32"/>
      <c r="KI60" s="32"/>
      <c r="KJ60" s="32"/>
      <c r="KK60" s="32"/>
      <c r="KL60" s="32"/>
      <c r="KM60" s="32"/>
      <c r="KN60" s="32"/>
      <c r="KO60" s="32"/>
      <c r="KP60" s="32"/>
      <c r="KQ60" s="32"/>
      <c r="KR60" s="32"/>
      <c r="KS60" s="32"/>
      <c r="KT60" s="32"/>
      <c r="KU60" s="32"/>
      <c r="KV60" s="32"/>
      <c r="KW60" s="32"/>
      <c r="KX60" s="32"/>
    </row>
    <row r="61" spans="1:310" ht="30" customHeight="1" x14ac:dyDescent="0.25">
      <c r="A61" s="4" t="s">
        <v>109</v>
      </c>
      <c r="B61" s="64" t="s">
        <v>110</v>
      </c>
      <c r="C61" s="65" t="s">
        <v>81</v>
      </c>
      <c r="D61" s="65" t="s">
        <v>77</v>
      </c>
      <c r="E61" s="66">
        <v>1</v>
      </c>
      <c r="F61" s="67">
        <v>46244</v>
      </c>
      <c r="G61" s="67">
        <v>46245</v>
      </c>
      <c r="H61" s="39"/>
      <c r="I61" s="39">
        <f t="shared" si="10"/>
        <v>2</v>
      </c>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32"/>
      <c r="GR61" s="32"/>
      <c r="GS61" s="32"/>
      <c r="GT61" s="32"/>
      <c r="GU61" s="32"/>
      <c r="GV61" s="32"/>
      <c r="GW61" s="32"/>
      <c r="GX61" s="32"/>
      <c r="GY61" s="32"/>
      <c r="GZ61" s="32"/>
      <c r="HA61" s="32"/>
      <c r="HB61" s="32"/>
      <c r="HC61" s="32"/>
      <c r="HD61" s="32"/>
      <c r="HE61" s="32"/>
      <c r="HF61" s="32"/>
      <c r="HG61" s="32"/>
      <c r="HH61" s="32"/>
      <c r="HI61" s="32"/>
      <c r="HJ61" s="32"/>
      <c r="HK61" s="32"/>
      <c r="HL61" s="32"/>
      <c r="HM61" s="32"/>
      <c r="HN61" s="32"/>
      <c r="HO61" s="32"/>
      <c r="HP61" s="32"/>
      <c r="HQ61" s="32"/>
      <c r="HR61" s="32"/>
      <c r="HS61" s="32"/>
      <c r="HT61" s="32"/>
      <c r="HU61" s="32"/>
      <c r="HV61" s="32"/>
      <c r="HW61" s="32"/>
      <c r="HX61" s="32"/>
      <c r="HY61" s="32"/>
      <c r="HZ61" s="32"/>
      <c r="IA61" s="32"/>
      <c r="IB61" s="32"/>
      <c r="IC61" s="32"/>
      <c r="ID61" s="32"/>
      <c r="IE61" s="32"/>
      <c r="IF61" s="32"/>
      <c r="IG61" s="32"/>
      <c r="IH61" s="32"/>
      <c r="II61" s="32"/>
      <c r="IJ61" s="32"/>
      <c r="IK61" s="32"/>
      <c r="IL61" s="32"/>
      <c r="IM61" s="32"/>
      <c r="IN61" s="32"/>
      <c r="IO61" s="32"/>
      <c r="IP61" s="32"/>
      <c r="IQ61" s="32"/>
      <c r="IR61" s="32"/>
      <c r="IS61" s="32"/>
      <c r="IT61" s="32"/>
      <c r="IU61" s="32"/>
      <c r="IV61" s="32"/>
      <c r="IW61" s="32"/>
      <c r="IX61" s="32"/>
      <c r="IY61" s="32"/>
      <c r="IZ61" s="32"/>
      <c r="JA61" s="32"/>
      <c r="JB61" s="32"/>
      <c r="JC61" s="32"/>
      <c r="JD61" s="32"/>
      <c r="JE61" s="32"/>
      <c r="JF61" s="32"/>
      <c r="JG61" s="32"/>
      <c r="JH61" s="32"/>
      <c r="JI61" s="32"/>
      <c r="JJ61" s="32"/>
      <c r="JK61" s="32"/>
      <c r="JL61" s="32"/>
      <c r="JM61" s="32"/>
      <c r="JN61" s="32"/>
      <c r="JO61" s="32"/>
      <c r="JP61" s="32"/>
      <c r="JQ61" s="32"/>
      <c r="JR61" s="32"/>
      <c r="JS61" s="32"/>
      <c r="JT61" s="32"/>
      <c r="JU61" s="32"/>
      <c r="JV61" s="32"/>
      <c r="JW61" s="32"/>
      <c r="JX61" s="32"/>
      <c r="JY61" s="32"/>
      <c r="JZ61" s="32"/>
      <c r="KA61" s="32"/>
      <c r="KB61" s="32"/>
      <c r="KC61" s="32"/>
      <c r="KD61" s="32"/>
      <c r="KE61" s="32"/>
      <c r="KF61" s="32"/>
      <c r="KG61" s="32"/>
      <c r="KH61" s="32"/>
      <c r="KI61" s="32"/>
      <c r="KJ61" s="32"/>
      <c r="KK61" s="32"/>
      <c r="KL61" s="32"/>
      <c r="KM61" s="32"/>
      <c r="KN61" s="32"/>
      <c r="KO61" s="32"/>
      <c r="KP61" s="32"/>
      <c r="KQ61" s="32"/>
      <c r="KR61" s="32"/>
      <c r="KS61" s="32"/>
      <c r="KT61" s="32"/>
      <c r="KU61" s="32"/>
      <c r="KV61" s="32"/>
      <c r="KW61" s="32"/>
      <c r="KX61" s="32"/>
    </row>
    <row r="62" spans="1:310" ht="30" customHeight="1" x14ac:dyDescent="0.25">
      <c r="A62" s="6" t="s">
        <v>111</v>
      </c>
      <c r="B62" s="64" t="s">
        <v>112</v>
      </c>
      <c r="C62" s="65" t="s">
        <v>76</v>
      </c>
      <c r="D62" s="65" t="s">
        <v>95</v>
      </c>
      <c r="E62" s="66">
        <v>1</v>
      </c>
      <c r="F62" s="67">
        <v>46246</v>
      </c>
      <c r="G62" s="67">
        <v>46247</v>
      </c>
      <c r="H62" s="39"/>
      <c r="I62" s="39">
        <f t="shared" si="10"/>
        <v>2</v>
      </c>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32"/>
      <c r="GR62" s="32"/>
      <c r="GS62" s="32"/>
      <c r="GT62" s="32"/>
      <c r="GU62" s="32"/>
      <c r="GV62" s="32"/>
      <c r="GW62" s="32"/>
      <c r="GX62" s="32"/>
      <c r="GY62" s="32"/>
      <c r="GZ62" s="32"/>
      <c r="HA62" s="32"/>
      <c r="HB62" s="32"/>
      <c r="HC62" s="32"/>
      <c r="HD62" s="32"/>
      <c r="HE62" s="32"/>
      <c r="HF62" s="32"/>
      <c r="HG62" s="32"/>
      <c r="HH62" s="32"/>
      <c r="HI62" s="32"/>
      <c r="HJ62" s="32"/>
      <c r="HK62" s="32"/>
      <c r="HL62" s="32"/>
      <c r="HM62" s="32"/>
      <c r="HN62" s="32"/>
      <c r="HO62" s="32"/>
      <c r="HP62" s="32"/>
      <c r="HQ62" s="32"/>
      <c r="HR62" s="32"/>
      <c r="HS62" s="32"/>
      <c r="HT62" s="32"/>
      <c r="HU62" s="32"/>
      <c r="HV62" s="32"/>
      <c r="HW62" s="32"/>
      <c r="HX62" s="32"/>
      <c r="HY62" s="32"/>
      <c r="HZ62" s="32"/>
      <c r="IA62" s="32"/>
      <c r="IB62" s="32"/>
      <c r="IC62" s="32"/>
      <c r="ID62" s="32"/>
      <c r="IE62" s="32"/>
      <c r="IF62" s="32"/>
      <c r="IG62" s="32"/>
      <c r="IH62" s="32"/>
      <c r="II62" s="32"/>
      <c r="IJ62" s="32"/>
      <c r="IK62" s="32"/>
      <c r="IL62" s="32"/>
      <c r="IM62" s="32"/>
      <c r="IN62" s="32"/>
      <c r="IO62" s="32"/>
      <c r="IP62" s="32"/>
      <c r="IQ62" s="32"/>
      <c r="IR62" s="32"/>
      <c r="IS62" s="32"/>
      <c r="IT62" s="32"/>
      <c r="IU62" s="32"/>
      <c r="IV62" s="32"/>
      <c r="IW62" s="32"/>
      <c r="IX62" s="32"/>
      <c r="IY62" s="32"/>
      <c r="IZ62" s="32"/>
      <c r="JA62" s="32"/>
      <c r="JB62" s="32"/>
      <c r="JC62" s="32"/>
      <c r="JD62" s="32"/>
      <c r="JE62" s="32"/>
      <c r="JF62" s="32"/>
      <c r="JG62" s="32"/>
      <c r="JH62" s="32"/>
      <c r="JI62" s="32"/>
      <c r="JJ62" s="32"/>
      <c r="JK62" s="32"/>
      <c r="JL62" s="32"/>
      <c r="JM62" s="32"/>
      <c r="JN62" s="32"/>
      <c r="JO62" s="32"/>
      <c r="JP62" s="32"/>
      <c r="JQ62" s="32"/>
      <c r="JR62" s="32"/>
      <c r="JS62" s="32"/>
      <c r="JT62" s="32"/>
      <c r="JU62" s="32"/>
      <c r="JV62" s="32"/>
      <c r="JW62" s="32"/>
      <c r="JX62" s="32"/>
      <c r="JY62" s="32"/>
      <c r="JZ62" s="32"/>
      <c r="KA62" s="32"/>
      <c r="KB62" s="32"/>
      <c r="KC62" s="32"/>
      <c r="KD62" s="32"/>
      <c r="KE62" s="32"/>
      <c r="KF62" s="32"/>
      <c r="KG62" s="32"/>
      <c r="KH62" s="32"/>
      <c r="KI62" s="32"/>
      <c r="KJ62" s="32"/>
      <c r="KK62" s="32"/>
      <c r="KL62" s="32"/>
      <c r="KM62" s="32"/>
      <c r="KN62" s="32"/>
      <c r="KO62" s="32"/>
      <c r="KP62" s="32"/>
      <c r="KQ62" s="32"/>
      <c r="KR62" s="32"/>
      <c r="KS62" s="32"/>
      <c r="KT62" s="32"/>
      <c r="KU62" s="32"/>
      <c r="KV62" s="32"/>
      <c r="KW62" s="32"/>
      <c r="KX62" s="32"/>
    </row>
    <row r="63" spans="1:310" ht="30" customHeight="1" x14ac:dyDescent="0.25">
      <c r="B63" s="64" t="s">
        <v>82</v>
      </c>
      <c r="C63" s="65" t="s">
        <v>81</v>
      </c>
      <c r="D63" s="65" t="s">
        <v>113</v>
      </c>
      <c r="E63" s="66">
        <v>1</v>
      </c>
      <c r="F63" s="67">
        <v>46247</v>
      </c>
      <c r="G63" s="67">
        <v>46248</v>
      </c>
      <c r="H63" s="39"/>
      <c r="I63" s="39">
        <f t="shared" si="10"/>
        <v>2</v>
      </c>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32"/>
      <c r="GR63" s="32"/>
      <c r="GS63" s="32"/>
      <c r="GT63" s="32"/>
      <c r="GU63" s="32"/>
      <c r="GV63" s="32"/>
      <c r="GW63" s="32"/>
      <c r="GX63" s="32"/>
      <c r="GY63" s="32"/>
      <c r="GZ63" s="32"/>
      <c r="HA63" s="32"/>
      <c r="HB63" s="32"/>
      <c r="HC63" s="32"/>
      <c r="HD63" s="32"/>
      <c r="HE63" s="32"/>
      <c r="HF63" s="32"/>
      <c r="HG63" s="32"/>
      <c r="HH63" s="32"/>
      <c r="HI63" s="32"/>
      <c r="HJ63" s="32"/>
      <c r="HK63" s="32"/>
      <c r="HL63" s="32"/>
      <c r="HM63" s="32"/>
      <c r="HN63" s="32"/>
      <c r="HO63" s="32"/>
      <c r="HP63" s="32"/>
      <c r="HQ63" s="32"/>
      <c r="HR63" s="32"/>
      <c r="HS63" s="32"/>
      <c r="HT63" s="32"/>
      <c r="HU63" s="32"/>
      <c r="HV63" s="32"/>
      <c r="HW63" s="32"/>
      <c r="HX63" s="32"/>
      <c r="HY63" s="32"/>
      <c r="HZ63" s="32"/>
      <c r="IA63" s="32"/>
      <c r="IB63" s="32"/>
      <c r="IC63" s="32"/>
      <c r="ID63" s="32"/>
      <c r="IE63" s="32"/>
      <c r="IF63" s="32"/>
      <c r="IG63" s="32"/>
      <c r="IH63" s="32"/>
      <c r="II63" s="32"/>
      <c r="IJ63" s="32"/>
      <c r="IK63" s="32"/>
      <c r="IL63" s="32"/>
      <c r="IM63" s="32"/>
      <c r="IN63" s="32"/>
      <c r="IO63" s="32"/>
      <c r="IP63" s="32"/>
      <c r="IQ63" s="32"/>
      <c r="IR63" s="32"/>
      <c r="IS63" s="32"/>
      <c r="IT63" s="32"/>
      <c r="IU63" s="32"/>
      <c r="IV63" s="32"/>
      <c r="IW63" s="32"/>
      <c r="IX63" s="32"/>
      <c r="IY63" s="32"/>
      <c r="IZ63" s="32"/>
      <c r="JA63" s="32"/>
      <c r="JB63" s="32"/>
      <c r="JC63" s="32"/>
      <c r="JD63" s="32"/>
      <c r="JE63" s="32"/>
      <c r="JF63" s="32"/>
      <c r="JG63" s="32"/>
      <c r="JH63" s="32"/>
      <c r="JI63" s="32"/>
      <c r="JJ63" s="32"/>
      <c r="JK63" s="32"/>
      <c r="JL63" s="32"/>
      <c r="JM63" s="32"/>
      <c r="JN63" s="32"/>
      <c r="JO63" s="32"/>
      <c r="JP63" s="32"/>
      <c r="JQ63" s="32"/>
      <c r="JR63" s="32"/>
      <c r="JS63" s="32"/>
      <c r="JT63" s="32"/>
      <c r="JU63" s="32"/>
      <c r="JV63" s="32"/>
      <c r="JW63" s="32"/>
      <c r="JX63" s="32"/>
      <c r="JY63" s="32"/>
      <c r="JZ63" s="32"/>
      <c r="KA63" s="32"/>
      <c r="KB63" s="32"/>
      <c r="KC63" s="32"/>
      <c r="KD63" s="32"/>
      <c r="KE63" s="32"/>
      <c r="KF63" s="32"/>
      <c r="KG63" s="32"/>
      <c r="KH63" s="32"/>
      <c r="KI63" s="32"/>
      <c r="KJ63" s="32"/>
      <c r="KK63" s="32"/>
      <c r="KL63" s="32"/>
      <c r="KM63" s="32"/>
      <c r="KN63" s="32"/>
      <c r="KO63" s="32"/>
      <c r="KP63" s="32"/>
      <c r="KQ63" s="32"/>
      <c r="KR63" s="32"/>
      <c r="KS63" s="32"/>
      <c r="KT63" s="32"/>
      <c r="KU63" s="32"/>
      <c r="KV63" s="32"/>
      <c r="KW63" s="32"/>
      <c r="KX63" s="32"/>
    </row>
    <row r="64" spans="1:310" ht="30" customHeight="1" x14ac:dyDescent="0.25">
      <c r="B64" s="64" t="s">
        <v>85</v>
      </c>
      <c r="C64" s="65" t="s">
        <v>81</v>
      </c>
      <c r="D64" s="65" t="s">
        <v>86</v>
      </c>
      <c r="E64" s="66">
        <v>1</v>
      </c>
      <c r="F64" s="67">
        <v>46244</v>
      </c>
      <c r="G64" s="67">
        <v>46248</v>
      </c>
      <c r="H64" s="39"/>
      <c r="I64" s="39">
        <f t="shared" si="10"/>
        <v>5</v>
      </c>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32"/>
      <c r="GR64" s="32"/>
      <c r="GS64" s="32"/>
      <c r="GT64" s="32"/>
      <c r="GU64" s="32"/>
      <c r="GV64" s="32"/>
      <c r="GW64" s="32"/>
      <c r="GX64" s="32"/>
      <c r="GY64" s="32"/>
      <c r="GZ64" s="32"/>
      <c r="HA64" s="32"/>
      <c r="HB64" s="32"/>
      <c r="HC64" s="32"/>
      <c r="HD64" s="32"/>
      <c r="HE64" s="32"/>
      <c r="HF64" s="32"/>
      <c r="HG64" s="32"/>
      <c r="HH64" s="32"/>
      <c r="HI64" s="32"/>
      <c r="HJ64" s="32"/>
      <c r="HK64" s="32"/>
      <c r="HL64" s="32"/>
      <c r="HM64" s="32"/>
      <c r="HN64" s="32"/>
      <c r="HO64" s="32"/>
      <c r="HP64" s="32"/>
      <c r="HQ64" s="32"/>
      <c r="HR64" s="32"/>
      <c r="HS64" s="32"/>
      <c r="HT64" s="32"/>
      <c r="HU64" s="32"/>
      <c r="HV64" s="32"/>
      <c r="HW64" s="32"/>
      <c r="HX64" s="32"/>
      <c r="HY64" s="32"/>
      <c r="HZ64" s="32"/>
      <c r="IA64" s="32"/>
      <c r="IB64" s="32"/>
      <c r="IC64" s="32"/>
      <c r="ID64" s="32"/>
      <c r="IE64" s="32"/>
      <c r="IF64" s="32"/>
      <c r="IG64" s="32"/>
      <c r="IH64" s="32"/>
      <c r="II64" s="32"/>
      <c r="IJ64" s="32"/>
      <c r="IK64" s="32"/>
      <c r="IL64" s="32"/>
      <c r="IM64" s="32"/>
      <c r="IN64" s="32"/>
      <c r="IO64" s="32"/>
      <c r="IP64" s="32"/>
      <c r="IQ64" s="32"/>
      <c r="IR64" s="32"/>
      <c r="IS64" s="32"/>
      <c r="IT64" s="32"/>
      <c r="IU64" s="32"/>
      <c r="IV64" s="32"/>
      <c r="IW64" s="32"/>
      <c r="IX64" s="32"/>
      <c r="IY64" s="32"/>
      <c r="IZ64" s="32"/>
      <c r="JA64" s="32"/>
      <c r="JB64" s="32"/>
      <c r="JC64" s="32"/>
      <c r="JD64" s="32"/>
      <c r="JE64" s="32"/>
      <c r="JF64" s="32"/>
      <c r="JG64" s="32"/>
      <c r="JH64" s="32"/>
      <c r="JI64" s="32"/>
      <c r="JJ64" s="32"/>
      <c r="JK64" s="32"/>
      <c r="JL64" s="32"/>
      <c r="JM64" s="32"/>
      <c r="JN64" s="32"/>
      <c r="JO64" s="32"/>
      <c r="JP64" s="32"/>
      <c r="JQ64" s="32"/>
      <c r="JR64" s="32"/>
      <c r="JS64" s="32"/>
      <c r="JT64" s="32"/>
      <c r="JU64" s="32"/>
      <c r="JV64" s="32"/>
      <c r="JW64" s="32"/>
      <c r="JX64" s="32"/>
      <c r="JY64" s="32"/>
      <c r="JZ64" s="32"/>
      <c r="KA64" s="32"/>
      <c r="KB64" s="32"/>
      <c r="KC64" s="32"/>
      <c r="KD64" s="32"/>
      <c r="KE64" s="32"/>
      <c r="KF64" s="32"/>
      <c r="KG64" s="32"/>
      <c r="KH64" s="32"/>
      <c r="KI64" s="32"/>
      <c r="KJ64" s="32"/>
      <c r="KK64" s="32"/>
      <c r="KL64" s="32"/>
      <c r="KM64" s="32"/>
      <c r="KN64" s="32"/>
      <c r="KO64" s="32"/>
      <c r="KP64" s="32"/>
      <c r="KQ64" s="32"/>
      <c r="KR64" s="32"/>
      <c r="KS64" s="32"/>
      <c r="KT64" s="32"/>
      <c r="KU64" s="32"/>
      <c r="KV64" s="32"/>
      <c r="KW64" s="32"/>
      <c r="KX64" s="32"/>
    </row>
    <row r="65" spans="2:310" ht="30" customHeight="1" x14ac:dyDescent="0.25">
      <c r="B65" s="64" t="s">
        <v>114</v>
      </c>
      <c r="C65" s="65" t="s">
        <v>81</v>
      </c>
      <c r="D65" s="65" t="s">
        <v>89</v>
      </c>
      <c r="E65" s="66">
        <v>1</v>
      </c>
      <c r="F65" s="67">
        <v>46247</v>
      </c>
      <c r="G65" s="67">
        <v>46248</v>
      </c>
      <c r="H65" s="39"/>
      <c r="I65" s="39">
        <f t="shared" si="10"/>
        <v>2</v>
      </c>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32"/>
      <c r="GR65" s="32"/>
      <c r="GS65" s="32"/>
      <c r="GT65" s="32"/>
      <c r="GU65" s="32"/>
      <c r="GV65" s="32"/>
      <c r="GW65" s="32"/>
      <c r="GX65" s="32"/>
      <c r="GY65" s="32"/>
      <c r="GZ65" s="32"/>
      <c r="HA65" s="32"/>
      <c r="HB65" s="32"/>
      <c r="HC65" s="32"/>
      <c r="HD65" s="32"/>
      <c r="HE65" s="32"/>
      <c r="HF65" s="32"/>
      <c r="HG65" s="32"/>
      <c r="HH65" s="32"/>
      <c r="HI65" s="32"/>
      <c r="HJ65" s="32"/>
      <c r="HK65" s="32"/>
      <c r="HL65" s="32"/>
      <c r="HM65" s="32"/>
      <c r="HN65" s="32"/>
      <c r="HO65" s="32"/>
      <c r="HP65" s="32"/>
      <c r="HQ65" s="32"/>
      <c r="HR65" s="32"/>
      <c r="HS65" s="32"/>
      <c r="HT65" s="32"/>
      <c r="HU65" s="32"/>
      <c r="HV65" s="32"/>
      <c r="HW65" s="32"/>
      <c r="HX65" s="32"/>
      <c r="HY65" s="32"/>
      <c r="HZ65" s="32"/>
      <c r="IA65" s="32"/>
      <c r="IB65" s="32"/>
      <c r="IC65" s="32"/>
      <c r="ID65" s="32"/>
      <c r="IE65" s="32"/>
      <c r="IF65" s="32"/>
      <c r="IG65" s="32"/>
      <c r="IH65" s="32"/>
      <c r="II65" s="32"/>
      <c r="IJ65" s="32"/>
      <c r="IK65" s="32"/>
      <c r="IL65" s="32"/>
      <c r="IM65" s="32"/>
      <c r="IN65" s="32"/>
      <c r="IO65" s="32"/>
      <c r="IP65" s="32"/>
      <c r="IQ65" s="32"/>
      <c r="IR65" s="32"/>
      <c r="IS65" s="32"/>
      <c r="IT65" s="32"/>
      <c r="IU65" s="32"/>
      <c r="IV65" s="32"/>
      <c r="IW65" s="32"/>
      <c r="IX65" s="32"/>
      <c r="IY65" s="32"/>
      <c r="IZ65" s="32"/>
      <c r="JA65" s="32"/>
      <c r="JB65" s="32"/>
      <c r="JC65" s="32"/>
      <c r="JD65" s="32"/>
      <c r="JE65" s="32"/>
      <c r="JF65" s="32"/>
      <c r="JG65" s="32"/>
      <c r="JH65" s="32"/>
      <c r="JI65" s="32"/>
      <c r="JJ65" s="32"/>
      <c r="JK65" s="32"/>
      <c r="JL65" s="32"/>
      <c r="JM65" s="32"/>
      <c r="JN65" s="32"/>
      <c r="JO65" s="32"/>
      <c r="JP65" s="32"/>
      <c r="JQ65" s="32"/>
      <c r="JR65" s="32"/>
      <c r="JS65" s="32"/>
      <c r="JT65" s="32"/>
      <c r="JU65" s="32"/>
      <c r="JV65" s="32"/>
      <c r="JW65" s="32"/>
      <c r="JX65" s="32"/>
      <c r="JY65" s="32"/>
      <c r="JZ65" s="32"/>
      <c r="KA65" s="32"/>
      <c r="KB65" s="32"/>
      <c r="KC65" s="32"/>
      <c r="KD65" s="32"/>
      <c r="KE65" s="32"/>
      <c r="KF65" s="32"/>
      <c r="KG65" s="32"/>
      <c r="KH65" s="32"/>
      <c r="KI65" s="32"/>
      <c r="KJ65" s="32"/>
      <c r="KK65" s="32"/>
      <c r="KL65" s="32"/>
      <c r="KM65" s="32"/>
      <c r="KN65" s="32"/>
      <c r="KO65" s="32"/>
      <c r="KP65" s="32"/>
      <c r="KQ65" s="32"/>
      <c r="KR65" s="32"/>
      <c r="KS65" s="32"/>
      <c r="KT65" s="32"/>
      <c r="KU65" s="32"/>
      <c r="KV65" s="32"/>
      <c r="KW65" s="32"/>
      <c r="KX65" s="32"/>
    </row>
    <row r="66" spans="2:310" ht="30" customHeight="1" x14ac:dyDescent="0.25">
      <c r="B66" s="64" t="s">
        <v>92</v>
      </c>
      <c r="C66" s="65" t="s">
        <v>81</v>
      </c>
      <c r="D66" s="65" t="s">
        <v>95</v>
      </c>
      <c r="E66" s="66">
        <v>1</v>
      </c>
      <c r="F66" s="67">
        <v>46248</v>
      </c>
      <c r="G66" s="67">
        <v>46248</v>
      </c>
      <c r="H66" s="39"/>
      <c r="I66" s="39">
        <f t="shared" si="10"/>
        <v>1</v>
      </c>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32"/>
      <c r="GR66" s="32"/>
      <c r="GS66" s="32"/>
      <c r="GT66" s="32"/>
      <c r="GU66" s="32"/>
      <c r="GV66" s="32"/>
      <c r="GW66" s="32"/>
      <c r="GX66" s="32"/>
      <c r="GY66" s="32"/>
      <c r="GZ66" s="32"/>
      <c r="HA66" s="32"/>
      <c r="HB66" s="32"/>
      <c r="HC66" s="32"/>
      <c r="HD66" s="32"/>
      <c r="HE66" s="32"/>
      <c r="HF66" s="32"/>
      <c r="HG66" s="32"/>
      <c r="HH66" s="32"/>
      <c r="HI66" s="32"/>
      <c r="HJ66" s="32"/>
      <c r="HK66" s="32"/>
      <c r="HL66" s="32"/>
      <c r="HM66" s="32"/>
      <c r="HN66" s="32"/>
      <c r="HO66" s="32"/>
      <c r="HP66" s="32"/>
      <c r="HQ66" s="32"/>
      <c r="HR66" s="32"/>
      <c r="HS66" s="32"/>
      <c r="HT66" s="32"/>
      <c r="HU66" s="32"/>
      <c r="HV66" s="32"/>
      <c r="HW66" s="32"/>
      <c r="HX66" s="32"/>
      <c r="HY66" s="32"/>
      <c r="HZ66" s="32"/>
      <c r="IA66" s="32"/>
      <c r="IB66" s="32"/>
      <c r="IC66" s="32"/>
      <c r="ID66" s="32"/>
      <c r="IE66" s="32"/>
      <c r="IF66" s="32"/>
      <c r="IG66" s="32"/>
      <c r="IH66" s="32"/>
      <c r="II66" s="32"/>
      <c r="IJ66" s="32"/>
      <c r="IK66" s="32"/>
      <c r="IL66" s="32"/>
      <c r="IM66" s="32"/>
      <c r="IN66" s="32"/>
      <c r="IO66" s="32"/>
      <c r="IP66" s="32"/>
      <c r="IQ66" s="32"/>
      <c r="IR66" s="32"/>
      <c r="IS66" s="32"/>
      <c r="IT66" s="32"/>
      <c r="IU66" s="32"/>
      <c r="IV66" s="32"/>
      <c r="IW66" s="32"/>
      <c r="IX66" s="32"/>
      <c r="IY66" s="32"/>
      <c r="IZ66" s="32"/>
      <c r="JA66" s="32"/>
      <c r="JB66" s="32"/>
      <c r="JC66" s="32"/>
      <c r="JD66" s="32"/>
      <c r="JE66" s="32"/>
      <c r="JF66" s="32"/>
      <c r="JG66" s="32"/>
      <c r="JH66" s="32"/>
      <c r="JI66" s="32"/>
      <c r="JJ66" s="32"/>
      <c r="JK66" s="32"/>
      <c r="JL66" s="32"/>
      <c r="JM66" s="32"/>
      <c r="JN66" s="32"/>
      <c r="JO66" s="32"/>
      <c r="JP66" s="32"/>
      <c r="JQ66" s="32"/>
      <c r="JR66" s="32"/>
      <c r="JS66" s="32"/>
      <c r="JT66" s="32"/>
      <c r="JU66" s="32"/>
      <c r="JV66" s="32"/>
      <c r="JW66" s="32"/>
      <c r="JX66" s="32"/>
      <c r="JY66" s="32"/>
      <c r="JZ66" s="32"/>
      <c r="KA66" s="32"/>
      <c r="KB66" s="32"/>
      <c r="KC66" s="32"/>
      <c r="KD66" s="32"/>
      <c r="KE66" s="32"/>
      <c r="KF66" s="32"/>
      <c r="KG66" s="32"/>
      <c r="KH66" s="32"/>
      <c r="KI66" s="32"/>
      <c r="KJ66" s="32"/>
      <c r="KK66" s="32"/>
      <c r="KL66" s="32"/>
      <c r="KM66" s="32"/>
      <c r="KN66" s="32"/>
      <c r="KO66" s="32"/>
      <c r="KP66" s="32"/>
      <c r="KQ66" s="32"/>
      <c r="KR66" s="32"/>
      <c r="KS66" s="32"/>
      <c r="KT66" s="32"/>
      <c r="KU66" s="32"/>
      <c r="KV66" s="32"/>
      <c r="KW66" s="32"/>
      <c r="KX66" s="32"/>
    </row>
    <row r="67" spans="2:310" ht="30" customHeight="1" x14ac:dyDescent="0.25">
      <c r="B67" s="64" t="s">
        <v>94</v>
      </c>
      <c r="C67" s="65" t="s">
        <v>115</v>
      </c>
      <c r="D67" s="65" t="s">
        <v>95</v>
      </c>
      <c r="E67" s="66">
        <v>1</v>
      </c>
      <c r="F67" s="67">
        <v>46251</v>
      </c>
      <c r="G67" s="67">
        <v>46251</v>
      </c>
      <c r="H67" s="39"/>
      <c r="I67" s="39">
        <f t="shared" si="10"/>
        <v>1</v>
      </c>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32"/>
      <c r="GR67" s="32"/>
      <c r="GS67" s="32"/>
      <c r="GT67" s="32"/>
      <c r="GU67" s="32"/>
      <c r="GV67" s="32"/>
      <c r="GW67" s="32"/>
      <c r="GX67" s="32"/>
      <c r="GY67" s="32"/>
      <c r="GZ67" s="32"/>
      <c r="HA67" s="32"/>
      <c r="HB67" s="32"/>
      <c r="HC67" s="32"/>
      <c r="HD67" s="32"/>
      <c r="HE67" s="32"/>
      <c r="HF67" s="32"/>
      <c r="HG67" s="32"/>
      <c r="HH67" s="32"/>
      <c r="HI67" s="32"/>
      <c r="HJ67" s="32"/>
      <c r="HK67" s="32"/>
      <c r="HL67" s="32"/>
      <c r="HM67" s="32"/>
      <c r="HN67" s="32"/>
      <c r="HO67" s="32"/>
      <c r="HP67" s="32"/>
      <c r="HQ67" s="32"/>
      <c r="HR67" s="32"/>
      <c r="HS67" s="32"/>
      <c r="HT67" s="32"/>
      <c r="HU67" s="32"/>
      <c r="HV67" s="32"/>
      <c r="HW67" s="32"/>
      <c r="HX67" s="32"/>
      <c r="HY67" s="32"/>
      <c r="HZ67" s="32"/>
      <c r="IA67" s="32"/>
      <c r="IB67" s="32"/>
      <c r="IC67" s="32"/>
      <c r="ID67" s="32"/>
      <c r="IE67" s="32"/>
      <c r="IF67" s="32"/>
      <c r="IG67" s="32"/>
      <c r="IH67" s="32"/>
      <c r="II67" s="32"/>
      <c r="IJ67" s="32"/>
      <c r="IK67" s="32"/>
      <c r="IL67" s="32"/>
      <c r="IM67" s="32"/>
      <c r="IN67" s="32"/>
      <c r="IO67" s="32"/>
      <c r="IP67" s="32"/>
      <c r="IQ67" s="32"/>
      <c r="IR67" s="32"/>
      <c r="IS67" s="32"/>
      <c r="IT67" s="32"/>
      <c r="IU67" s="32"/>
      <c r="IV67" s="32"/>
      <c r="IW67" s="32"/>
      <c r="IX67" s="32"/>
      <c r="IY67" s="32"/>
      <c r="IZ67" s="32"/>
      <c r="JA67" s="32"/>
      <c r="JB67" s="32"/>
      <c r="JC67" s="32"/>
      <c r="JD67" s="32"/>
      <c r="JE67" s="32"/>
      <c r="JF67" s="32"/>
      <c r="JG67" s="32"/>
      <c r="JH67" s="32"/>
      <c r="JI67" s="32"/>
      <c r="JJ67" s="32"/>
      <c r="JK67" s="32"/>
      <c r="JL67" s="32"/>
      <c r="JM67" s="32"/>
      <c r="JN67" s="32"/>
      <c r="JO67" s="32"/>
      <c r="JP67" s="32"/>
      <c r="JQ67" s="32"/>
      <c r="JR67" s="32"/>
      <c r="JS67" s="32"/>
      <c r="JT67" s="32"/>
      <c r="JU67" s="32"/>
      <c r="JV67" s="32"/>
      <c r="JW67" s="32"/>
      <c r="JX67" s="32"/>
      <c r="JY67" s="32"/>
      <c r="JZ67" s="32"/>
      <c r="KA67" s="32"/>
      <c r="KB67" s="32"/>
      <c r="KC67" s="32"/>
      <c r="KD67" s="32"/>
      <c r="KE67" s="32"/>
      <c r="KF67" s="32"/>
      <c r="KG67" s="32"/>
      <c r="KH67" s="32"/>
      <c r="KI67" s="32"/>
      <c r="KJ67" s="32"/>
      <c r="KK67" s="32"/>
      <c r="KL67" s="32"/>
      <c r="KM67" s="32"/>
      <c r="KN67" s="32"/>
      <c r="KO67" s="32"/>
      <c r="KP67" s="32"/>
      <c r="KQ67" s="32"/>
      <c r="KR67" s="32"/>
      <c r="KS67" s="32"/>
      <c r="KT67" s="32"/>
      <c r="KU67" s="32"/>
      <c r="KV67" s="32"/>
      <c r="KW67" s="32"/>
      <c r="KX67" s="32"/>
    </row>
    <row r="68" spans="2:310" ht="30" customHeight="1" x14ac:dyDescent="0.25">
      <c r="B68" s="64" t="s">
        <v>116</v>
      </c>
      <c r="C68" s="65" t="s">
        <v>115</v>
      </c>
      <c r="D68" s="65" t="s">
        <v>77</v>
      </c>
      <c r="E68" s="66">
        <v>1</v>
      </c>
      <c r="F68" s="67">
        <v>46244</v>
      </c>
      <c r="G68" s="67">
        <v>46265</v>
      </c>
      <c r="H68" s="39"/>
      <c r="I68" s="39">
        <f t="shared" si="10"/>
        <v>22</v>
      </c>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32"/>
      <c r="GR68" s="32"/>
      <c r="GS68" s="32"/>
      <c r="GT68" s="32"/>
      <c r="GU68" s="32"/>
      <c r="GV68" s="32"/>
      <c r="GW68" s="32"/>
      <c r="GX68" s="32"/>
      <c r="GY68" s="32"/>
      <c r="GZ68" s="32"/>
      <c r="HA68" s="32"/>
      <c r="HB68" s="32"/>
      <c r="HC68" s="32"/>
      <c r="HD68" s="32"/>
      <c r="HE68" s="32"/>
      <c r="HF68" s="32"/>
      <c r="HG68" s="32"/>
      <c r="HH68" s="32"/>
      <c r="HI68" s="32"/>
      <c r="HJ68" s="32"/>
      <c r="HK68" s="32"/>
      <c r="HL68" s="32"/>
      <c r="HM68" s="32"/>
      <c r="HN68" s="32"/>
      <c r="HO68" s="32"/>
      <c r="HP68" s="32"/>
      <c r="HQ68" s="32"/>
      <c r="HR68" s="32"/>
      <c r="HS68" s="32"/>
      <c r="HT68" s="32"/>
      <c r="HU68" s="32"/>
      <c r="HV68" s="32"/>
      <c r="HW68" s="32"/>
      <c r="HX68" s="32"/>
      <c r="HY68" s="32"/>
      <c r="HZ68" s="32"/>
      <c r="IA68" s="32"/>
      <c r="IB68" s="32"/>
      <c r="IC68" s="32"/>
      <c r="ID68" s="32"/>
      <c r="IE68" s="32"/>
      <c r="IF68" s="32"/>
      <c r="IG68" s="32"/>
      <c r="IH68" s="32"/>
      <c r="II68" s="32"/>
      <c r="IJ68" s="32"/>
      <c r="IK68" s="32"/>
      <c r="IL68" s="32"/>
      <c r="IM68" s="32"/>
      <c r="IN68" s="32"/>
      <c r="IO68" s="32"/>
      <c r="IP68" s="32"/>
      <c r="IQ68" s="32"/>
      <c r="IR68" s="32"/>
      <c r="IS68" s="32"/>
      <c r="IT68" s="32"/>
      <c r="IU68" s="32"/>
      <c r="IV68" s="32"/>
      <c r="IW68" s="32"/>
      <c r="IX68" s="32"/>
      <c r="IY68" s="32"/>
      <c r="IZ68" s="32"/>
      <c r="JA68" s="32"/>
      <c r="JB68" s="32"/>
      <c r="JC68" s="32"/>
      <c r="JD68" s="32"/>
      <c r="JE68" s="32"/>
      <c r="JF68" s="32"/>
      <c r="JG68" s="32"/>
      <c r="JH68" s="32"/>
      <c r="JI68" s="32"/>
      <c r="JJ68" s="32"/>
      <c r="JK68" s="32"/>
      <c r="JL68" s="32"/>
      <c r="JM68" s="32"/>
      <c r="JN68" s="32"/>
      <c r="JO68" s="32"/>
      <c r="JP68" s="32"/>
      <c r="JQ68" s="32"/>
      <c r="JR68" s="32"/>
      <c r="JS68" s="32"/>
      <c r="JT68" s="32"/>
      <c r="JU68" s="32"/>
      <c r="JV68" s="32"/>
      <c r="JW68" s="32"/>
      <c r="JX68" s="32"/>
      <c r="JY68" s="32"/>
      <c r="JZ68" s="32"/>
      <c r="KA68" s="32"/>
      <c r="KB68" s="32"/>
      <c r="KC68" s="32"/>
      <c r="KD68" s="32"/>
      <c r="KE68" s="32"/>
      <c r="KF68" s="32"/>
      <c r="KG68" s="32"/>
      <c r="KH68" s="32"/>
      <c r="KI68" s="32"/>
      <c r="KJ68" s="32"/>
      <c r="KK68" s="32"/>
      <c r="KL68" s="32"/>
      <c r="KM68" s="32"/>
      <c r="KN68" s="32"/>
      <c r="KO68" s="32"/>
      <c r="KP68" s="32"/>
      <c r="KQ68" s="32"/>
      <c r="KR68" s="32"/>
      <c r="KS68" s="32"/>
      <c r="KT68" s="32"/>
      <c r="KU68" s="32"/>
      <c r="KV68" s="32"/>
      <c r="KW68" s="32"/>
      <c r="KX68" s="32"/>
    </row>
    <row r="69" spans="2:310" ht="30" customHeight="1" x14ac:dyDescent="0.25">
      <c r="B69" s="64" t="s">
        <v>96</v>
      </c>
      <c r="C69" s="65" t="s">
        <v>115</v>
      </c>
      <c r="D69" s="65" t="s">
        <v>77</v>
      </c>
      <c r="E69" s="66">
        <v>1</v>
      </c>
      <c r="F69" s="67">
        <v>46244</v>
      </c>
      <c r="G69" s="67">
        <v>46272</v>
      </c>
      <c r="H69" s="39"/>
      <c r="I69" s="39">
        <f t="shared" si="10"/>
        <v>29</v>
      </c>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32"/>
      <c r="GR69" s="32"/>
      <c r="GS69" s="32"/>
      <c r="GT69" s="32"/>
      <c r="GU69" s="32"/>
      <c r="GV69" s="32"/>
      <c r="GW69" s="32"/>
      <c r="GX69" s="32"/>
      <c r="GY69" s="32"/>
      <c r="GZ69" s="32"/>
      <c r="HA69" s="32"/>
      <c r="HB69" s="32"/>
      <c r="HC69" s="32"/>
      <c r="HD69" s="32"/>
      <c r="HE69" s="32"/>
      <c r="HF69" s="32"/>
      <c r="HG69" s="32"/>
      <c r="HH69" s="32"/>
      <c r="HI69" s="32"/>
      <c r="HJ69" s="32"/>
      <c r="HK69" s="32"/>
      <c r="HL69" s="32"/>
      <c r="HM69" s="32"/>
      <c r="HN69" s="32"/>
      <c r="HO69" s="32"/>
      <c r="HP69" s="32"/>
      <c r="HQ69" s="32"/>
      <c r="HR69" s="32"/>
      <c r="HS69" s="32"/>
      <c r="HT69" s="32"/>
      <c r="HU69" s="32"/>
      <c r="HV69" s="32"/>
      <c r="HW69" s="32"/>
      <c r="HX69" s="32"/>
      <c r="HY69" s="32"/>
      <c r="HZ69" s="32"/>
      <c r="IA69" s="32"/>
      <c r="IB69" s="32"/>
      <c r="IC69" s="32"/>
      <c r="ID69" s="32"/>
      <c r="IE69" s="32"/>
      <c r="IF69" s="32"/>
      <c r="IG69" s="32"/>
      <c r="IH69" s="32"/>
      <c r="II69" s="32"/>
      <c r="IJ69" s="32"/>
      <c r="IK69" s="32"/>
      <c r="IL69" s="32"/>
      <c r="IM69" s="32"/>
      <c r="IN69" s="32"/>
      <c r="IO69" s="32"/>
      <c r="IP69" s="32"/>
      <c r="IQ69" s="32"/>
      <c r="IR69" s="32"/>
      <c r="IS69" s="32"/>
      <c r="IT69" s="32"/>
      <c r="IU69" s="32"/>
      <c r="IV69" s="32"/>
      <c r="IW69" s="32"/>
      <c r="IX69" s="32"/>
      <c r="IY69" s="32"/>
      <c r="IZ69" s="32"/>
      <c r="JA69" s="32"/>
      <c r="JB69" s="32"/>
      <c r="JC69" s="32"/>
      <c r="JD69" s="32"/>
      <c r="JE69" s="32"/>
      <c r="JF69" s="32"/>
      <c r="JG69" s="32"/>
      <c r="JH69" s="32"/>
      <c r="JI69" s="32"/>
      <c r="JJ69" s="32"/>
      <c r="JK69" s="32"/>
      <c r="JL69" s="32"/>
      <c r="JM69" s="32"/>
      <c r="JN69" s="32"/>
      <c r="JO69" s="32"/>
      <c r="JP69" s="32"/>
      <c r="JQ69" s="32"/>
      <c r="JR69" s="32"/>
      <c r="JS69" s="32"/>
      <c r="JT69" s="32"/>
      <c r="JU69" s="32"/>
      <c r="JV69" s="32"/>
      <c r="JW69" s="32"/>
      <c r="JX69" s="32"/>
      <c r="JY69" s="32"/>
      <c r="JZ69" s="32"/>
      <c r="KA69" s="32"/>
      <c r="KB69" s="32"/>
      <c r="KC69" s="32"/>
      <c r="KD69" s="32"/>
      <c r="KE69" s="32"/>
      <c r="KF69" s="32"/>
      <c r="KG69" s="32"/>
      <c r="KH69" s="32"/>
      <c r="KI69" s="32"/>
      <c r="KJ69" s="32"/>
      <c r="KK69" s="32"/>
      <c r="KL69" s="32"/>
      <c r="KM69" s="32"/>
      <c r="KN69" s="32"/>
      <c r="KO69" s="32"/>
      <c r="KP69" s="32"/>
      <c r="KQ69" s="32"/>
      <c r="KR69" s="32"/>
      <c r="KS69" s="32"/>
      <c r="KT69" s="32"/>
      <c r="KU69" s="32"/>
      <c r="KV69" s="32"/>
      <c r="KW69" s="32"/>
      <c r="KX69" s="32"/>
    </row>
    <row r="70" spans="2:310" ht="30" customHeight="1" x14ac:dyDescent="0.25">
      <c r="B70" s="64" t="s">
        <v>98</v>
      </c>
      <c r="C70" s="65" t="s">
        <v>99</v>
      </c>
      <c r="D70" s="65" t="s">
        <v>86</v>
      </c>
      <c r="E70" s="66">
        <v>1</v>
      </c>
      <c r="F70" s="67">
        <v>46252</v>
      </c>
      <c r="G70" s="67">
        <v>46254</v>
      </c>
      <c r="H70" s="39"/>
      <c r="I70" s="39">
        <f t="shared" si="10"/>
        <v>3</v>
      </c>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32"/>
      <c r="GR70" s="32"/>
      <c r="GS70" s="32"/>
      <c r="GT70" s="32"/>
      <c r="GU70" s="32"/>
      <c r="GV70" s="32"/>
      <c r="GW70" s="32"/>
      <c r="GX70" s="32"/>
      <c r="GY70" s="32"/>
      <c r="GZ70" s="32"/>
      <c r="HA70" s="32"/>
      <c r="HB70" s="32"/>
      <c r="HC70" s="32"/>
      <c r="HD70" s="32"/>
      <c r="HE70" s="32"/>
      <c r="HF70" s="32"/>
      <c r="HG70" s="32"/>
      <c r="HH70" s="32"/>
      <c r="HI70" s="32"/>
      <c r="HJ70" s="32"/>
      <c r="HK70" s="32"/>
      <c r="HL70" s="32"/>
      <c r="HM70" s="32"/>
      <c r="HN70" s="32"/>
      <c r="HO70" s="32"/>
      <c r="HP70" s="32"/>
      <c r="HQ70" s="32"/>
      <c r="HR70" s="32"/>
      <c r="HS70" s="32"/>
      <c r="HT70" s="32"/>
      <c r="HU70" s="32"/>
      <c r="HV70" s="32"/>
      <c r="HW70" s="32"/>
      <c r="HX70" s="32"/>
      <c r="HY70" s="32"/>
      <c r="HZ70" s="32"/>
      <c r="IA70" s="32"/>
      <c r="IB70" s="32"/>
      <c r="IC70" s="32"/>
      <c r="ID70" s="32"/>
      <c r="IE70" s="32"/>
      <c r="IF70" s="32"/>
      <c r="IG70" s="32"/>
      <c r="IH70" s="32"/>
      <c r="II70" s="32"/>
      <c r="IJ70" s="32"/>
      <c r="IK70" s="32"/>
      <c r="IL70" s="32"/>
      <c r="IM70" s="32"/>
      <c r="IN70" s="32"/>
      <c r="IO70" s="32"/>
      <c r="IP70" s="32"/>
      <c r="IQ70" s="32"/>
      <c r="IR70" s="32"/>
      <c r="IS70" s="32"/>
      <c r="IT70" s="32"/>
      <c r="IU70" s="32"/>
      <c r="IV70" s="32"/>
      <c r="IW70" s="32"/>
      <c r="IX70" s="32"/>
      <c r="IY70" s="32"/>
      <c r="IZ70" s="32"/>
      <c r="JA70" s="32"/>
      <c r="JB70" s="32"/>
      <c r="JC70" s="32"/>
      <c r="JD70" s="32"/>
      <c r="JE70" s="32"/>
      <c r="JF70" s="32"/>
      <c r="JG70" s="32"/>
      <c r="JH70" s="32"/>
      <c r="JI70" s="32"/>
      <c r="JJ70" s="32"/>
      <c r="JK70" s="32"/>
      <c r="JL70" s="32"/>
      <c r="JM70" s="32"/>
      <c r="JN70" s="32"/>
      <c r="JO70" s="32"/>
      <c r="JP70" s="32"/>
      <c r="JQ70" s="32"/>
      <c r="JR70" s="32"/>
      <c r="JS70" s="32"/>
      <c r="JT70" s="32"/>
      <c r="JU70" s="32"/>
      <c r="JV70" s="32"/>
      <c r="JW70" s="32"/>
      <c r="JX70" s="32"/>
      <c r="JY70" s="32"/>
      <c r="JZ70" s="32"/>
      <c r="KA70" s="32"/>
      <c r="KB70" s="32"/>
      <c r="KC70" s="32"/>
      <c r="KD70" s="32"/>
      <c r="KE70" s="32"/>
      <c r="KF70" s="32"/>
      <c r="KG70" s="32"/>
      <c r="KH70" s="32"/>
      <c r="KI70" s="32"/>
      <c r="KJ70" s="32"/>
      <c r="KK70" s="32"/>
      <c r="KL70" s="32"/>
      <c r="KM70" s="32"/>
      <c r="KN70" s="32"/>
      <c r="KO70" s="32"/>
      <c r="KP70" s="32"/>
      <c r="KQ70" s="32"/>
      <c r="KR70" s="32"/>
      <c r="KS70" s="32"/>
      <c r="KT70" s="32"/>
      <c r="KU70" s="32"/>
      <c r="KV70" s="32"/>
      <c r="KW70" s="32"/>
      <c r="KX70" s="32"/>
    </row>
    <row r="71" spans="2:310" ht="30" customHeight="1" x14ac:dyDescent="0.25">
      <c r="B71" s="64" t="s">
        <v>98</v>
      </c>
      <c r="C71" s="65" t="s">
        <v>99</v>
      </c>
      <c r="D71" s="65" t="s">
        <v>95</v>
      </c>
      <c r="E71" s="66">
        <v>1</v>
      </c>
      <c r="F71" s="67">
        <v>46252</v>
      </c>
      <c r="G71" s="67">
        <v>46254</v>
      </c>
      <c r="H71" s="39"/>
      <c r="I71" s="39">
        <f t="shared" si="10"/>
        <v>3</v>
      </c>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32"/>
      <c r="GR71" s="32"/>
      <c r="GS71" s="32"/>
      <c r="GT71" s="32"/>
      <c r="GU71" s="32"/>
      <c r="GV71" s="32"/>
      <c r="GW71" s="32"/>
      <c r="GX71" s="32"/>
      <c r="GY71" s="32"/>
      <c r="GZ71" s="32"/>
      <c r="HA71" s="32"/>
      <c r="HB71" s="32"/>
      <c r="HC71" s="32"/>
      <c r="HD71" s="32"/>
      <c r="HE71" s="32"/>
      <c r="HF71" s="32"/>
      <c r="HG71" s="32"/>
      <c r="HH71" s="32"/>
      <c r="HI71" s="32"/>
      <c r="HJ71" s="32"/>
      <c r="HK71" s="32"/>
      <c r="HL71" s="32"/>
      <c r="HM71" s="32"/>
      <c r="HN71" s="32"/>
      <c r="HO71" s="32"/>
      <c r="HP71" s="32"/>
      <c r="HQ71" s="32"/>
      <c r="HR71" s="32"/>
      <c r="HS71" s="32"/>
      <c r="HT71" s="32"/>
      <c r="HU71" s="32"/>
      <c r="HV71" s="32"/>
      <c r="HW71" s="32"/>
      <c r="HX71" s="32"/>
      <c r="HY71" s="32"/>
      <c r="HZ71" s="32"/>
      <c r="IA71" s="32"/>
      <c r="IB71" s="32"/>
      <c r="IC71" s="32"/>
      <c r="ID71" s="32"/>
      <c r="IE71" s="32"/>
      <c r="IF71" s="32"/>
      <c r="IG71" s="32"/>
      <c r="IH71" s="32"/>
      <c r="II71" s="32"/>
      <c r="IJ71" s="32"/>
      <c r="IK71" s="32"/>
      <c r="IL71" s="32"/>
      <c r="IM71" s="32"/>
      <c r="IN71" s="32"/>
      <c r="IO71" s="32"/>
      <c r="IP71" s="32"/>
      <c r="IQ71" s="32"/>
      <c r="IR71" s="32"/>
      <c r="IS71" s="32"/>
      <c r="IT71" s="32"/>
      <c r="IU71" s="32"/>
      <c r="IV71" s="32"/>
      <c r="IW71" s="32"/>
      <c r="IX71" s="32"/>
      <c r="IY71" s="32"/>
      <c r="IZ71" s="32"/>
      <c r="JA71" s="32"/>
      <c r="JB71" s="32"/>
      <c r="JC71" s="32"/>
      <c r="JD71" s="32"/>
      <c r="JE71" s="32"/>
      <c r="JF71" s="32"/>
      <c r="JG71" s="32"/>
      <c r="JH71" s="32"/>
      <c r="JI71" s="32"/>
      <c r="JJ71" s="32"/>
      <c r="JK71" s="32"/>
      <c r="JL71" s="32"/>
      <c r="JM71" s="32"/>
      <c r="JN71" s="32"/>
      <c r="JO71" s="32"/>
      <c r="JP71" s="32"/>
      <c r="JQ71" s="32"/>
      <c r="JR71" s="32"/>
      <c r="JS71" s="32"/>
      <c r="JT71" s="32"/>
      <c r="JU71" s="32"/>
      <c r="JV71" s="32"/>
      <c r="JW71" s="32"/>
      <c r="JX71" s="32"/>
      <c r="JY71" s="32"/>
      <c r="JZ71" s="32"/>
      <c r="KA71" s="32"/>
      <c r="KB71" s="32"/>
      <c r="KC71" s="32"/>
      <c r="KD71" s="32"/>
      <c r="KE71" s="32"/>
      <c r="KF71" s="32"/>
      <c r="KG71" s="32"/>
      <c r="KH71" s="32"/>
      <c r="KI71" s="32"/>
      <c r="KJ71" s="32"/>
      <c r="KK71" s="32"/>
      <c r="KL71" s="32"/>
      <c r="KM71" s="32"/>
      <c r="KN71" s="32"/>
      <c r="KO71" s="32"/>
      <c r="KP71" s="32"/>
      <c r="KQ71" s="32"/>
      <c r="KR71" s="32"/>
      <c r="KS71" s="32"/>
      <c r="KT71" s="32"/>
      <c r="KU71" s="32"/>
      <c r="KV71" s="32"/>
      <c r="KW71" s="32"/>
      <c r="KX71" s="32"/>
    </row>
    <row r="72" spans="2:310" ht="30" customHeight="1" x14ac:dyDescent="0.25">
      <c r="B72" s="64" t="s">
        <v>117</v>
      </c>
      <c r="C72" s="65" t="s">
        <v>81</v>
      </c>
      <c r="D72" s="65" t="s">
        <v>118</v>
      </c>
      <c r="E72" s="66">
        <v>1</v>
      </c>
      <c r="F72" s="67">
        <v>46258</v>
      </c>
      <c r="G72" s="67">
        <v>46259</v>
      </c>
      <c r="H72" s="39"/>
      <c r="I72" s="39">
        <f t="shared" si="10"/>
        <v>2</v>
      </c>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32"/>
      <c r="GR72" s="32"/>
      <c r="GS72" s="32"/>
      <c r="GT72" s="32"/>
      <c r="GU72" s="32"/>
      <c r="GV72" s="32"/>
      <c r="GW72" s="32"/>
      <c r="GX72" s="32"/>
      <c r="GY72" s="32"/>
      <c r="GZ72" s="32"/>
      <c r="HA72" s="32"/>
      <c r="HB72" s="32"/>
      <c r="HC72" s="32"/>
      <c r="HD72" s="32"/>
      <c r="HE72" s="32"/>
      <c r="HF72" s="32"/>
      <c r="HG72" s="32"/>
      <c r="HH72" s="32"/>
      <c r="HI72" s="32"/>
      <c r="HJ72" s="32"/>
      <c r="HK72" s="32"/>
      <c r="HL72" s="32"/>
      <c r="HM72" s="32"/>
      <c r="HN72" s="32"/>
      <c r="HO72" s="32"/>
      <c r="HP72" s="32"/>
      <c r="HQ72" s="32"/>
      <c r="HR72" s="32"/>
      <c r="HS72" s="32"/>
      <c r="HT72" s="32"/>
      <c r="HU72" s="32"/>
      <c r="HV72" s="32"/>
      <c r="HW72" s="32"/>
      <c r="HX72" s="32"/>
      <c r="HY72" s="32"/>
      <c r="HZ72" s="32"/>
      <c r="IA72" s="32"/>
      <c r="IB72" s="32"/>
      <c r="IC72" s="32"/>
      <c r="ID72" s="32"/>
      <c r="IE72" s="32"/>
      <c r="IF72" s="32"/>
      <c r="IG72" s="32"/>
      <c r="IH72" s="32"/>
      <c r="II72" s="32"/>
      <c r="IJ72" s="32"/>
      <c r="IK72" s="32"/>
      <c r="IL72" s="32"/>
      <c r="IM72" s="32"/>
      <c r="IN72" s="32"/>
      <c r="IO72" s="32"/>
      <c r="IP72" s="32"/>
      <c r="IQ72" s="32"/>
      <c r="IR72" s="32"/>
      <c r="IS72" s="32"/>
      <c r="IT72" s="32"/>
      <c r="IU72" s="32"/>
      <c r="IV72" s="32"/>
      <c r="IW72" s="32"/>
      <c r="IX72" s="32"/>
      <c r="IY72" s="32"/>
      <c r="IZ72" s="32"/>
      <c r="JA72" s="32"/>
      <c r="JB72" s="32"/>
      <c r="JC72" s="32"/>
      <c r="JD72" s="32"/>
      <c r="JE72" s="32"/>
      <c r="JF72" s="32"/>
      <c r="JG72" s="32"/>
      <c r="JH72" s="32"/>
      <c r="JI72" s="32"/>
      <c r="JJ72" s="32"/>
      <c r="JK72" s="32"/>
      <c r="JL72" s="32"/>
      <c r="JM72" s="32"/>
      <c r="JN72" s="32"/>
      <c r="JO72" s="32"/>
      <c r="JP72" s="32"/>
      <c r="JQ72" s="32"/>
      <c r="JR72" s="32"/>
      <c r="JS72" s="32"/>
      <c r="JT72" s="32"/>
      <c r="JU72" s="32"/>
      <c r="JV72" s="32"/>
      <c r="JW72" s="32"/>
      <c r="JX72" s="32"/>
      <c r="JY72" s="32"/>
      <c r="JZ72" s="32"/>
      <c r="KA72" s="32"/>
      <c r="KB72" s="32"/>
      <c r="KC72" s="32"/>
      <c r="KD72" s="32"/>
      <c r="KE72" s="32"/>
      <c r="KF72" s="32"/>
      <c r="KG72" s="32"/>
      <c r="KH72" s="32"/>
      <c r="KI72" s="32"/>
      <c r="KJ72" s="32"/>
      <c r="KK72" s="32"/>
      <c r="KL72" s="32"/>
      <c r="KM72" s="32"/>
      <c r="KN72" s="32"/>
      <c r="KO72" s="32"/>
      <c r="KP72" s="32"/>
      <c r="KQ72" s="32"/>
      <c r="KR72" s="32"/>
      <c r="KS72" s="32"/>
      <c r="KT72" s="32"/>
      <c r="KU72" s="32"/>
      <c r="KV72" s="32"/>
      <c r="KW72" s="32"/>
      <c r="KX72" s="32"/>
    </row>
    <row r="73" spans="2:310" ht="30" customHeight="1" x14ac:dyDescent="0.25">
      <c r="B73" s="64" t="s">
        <v>119</v>
      </c>
      <c r="C73" s="65" t="s">
        <v>81</v>
      </c>
      <c r="D73" s="65" t="s">
        <v>89</v>
      </c>
      <c r="E73" s="66">
        <v>1</v>
      </c>
      <c r="F73" s="67">
        <v>46258</v>
      </c>
      <c r="G73" s="67">
        <v>46259</v>
      </c>
      <c r="H73" s="39"/>
      <c r="I73" s="39">
        <f t="shared" si="10"/>
        <v>2</v>
      </c>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32"/>
      <c r="GR73" s="32"/>
      <c r="GS73" s="32"/>
      <c r="GT73" s="32"/>
      <c r="GU73" s="32"/>
      <c r="GV73" s="32"/>
      <c r="GW73" s="32"/>
      <c r="GX73" s="32"/>
      <c r="GY73" s="32"/>
      <c r="GZ73" s="32"/>
      <c r="HA73" s="32"/>
      <c r="HB73" s="32"/>
      <c r="HC73" s="32"/>
      <c r="HD73" s="32"/>
      <c r="HE73" s="32"/>
      <c r="HF73" s="32"/>
      <c r="HG73" s="32"/>
      <c r="HH73" s="32"/>
      <c r="HI73" s="32"/>
      <c r="HJ73" s="32"/>
      <c r="HK73" s="32"/>
      <c r="HL73" s="32"/>
      <c r="HM73" s="32"/>
      <c r="HN73" s="32"/>
      <c r="HO73" s="32"/>
      <c r="HP73" s="32"/>
      <c r="HQ73" s="32"/>
      <c r="HR73" s="32"/>
      <c r="HS73" s="32"/>
      <c r="HT73" s="32"/>
      <c r="HU73" s="32"/>
      <c r="HV73" s="32"/>
      <c r="HW73" s="32"/>
      <c r="HX73" s="32"/>
      <c r="HY73" s="32"/>
      <c r="HZ73" s="32"/>
      <c r="IA73" s="32"/>
      <c r="IB73" s="32"/>
      <c r="IC73" s="32"/>
      <c r="ID73" s="32"/>
      <c r="IE73" s="32"/>
      <c r="IF73" s="32"/>
      <c r="IG73" s="32"/>
      <c r="IH73" s="32"/>
      <c r="II73" s="32"/>
      <c r="IJ73" s="32"/>
      <c r="IK73" s="32"/>
      <c r="IL73" s="32"/>
      <c r="IM73" s="32"/>
      <c r="IN73" s="32"/>
      <c r="IO73" s="32"/>
      <c r="IP73" s="32"/>
      <c r="IQ73" s="32"/>
      <c r="IR73" s="32"/>
      <c r="IS73" s="32"/>
      <c r="IT73" s="32"/>
      <c r="IU73" s="32"/>
      <c r="IV73" s="32"/>
      <c r="IW73" s="32"/>
      <c r="IX73" s="32"/>
      <c r="IY73" s="32"/>
      <c r="IZ73" s="32"/>
      <c r="JA73" s="32"/>
      <c r="JB73" s="32"/>
      <c r="JC73" s="32"/>
      <c r="JD73" s="32"/>
      <c r="JE73" s="32"/>
      <c r="JF73" s="32"/>
      <c r="JG73" s="32"/>
      <c r="JH73" s="32"/>
      <c r="JI73" s="32"/>
      <c r="JJ73" s="32"/>
      <c r="JK73" s="32"/>
      <c r="JL73" s="32"/>
      <c r="JM73" s="32"/>
      <c r="JN73" s="32"/>
      <c r="JO73" s="32"/>
      <c r="JP73" s="32"/>
      <c r="JQ73" s="32"/>
      <c r="JR73" s="32"/>
      <c r="JS73" s="32"/>
      <c r="JT73" s="32"/>
      <c r="JU73" s="32"/>
      <c r="JV73" s="32"/>
      <c r="JW73" s="32"/>
      <c r="JX73" s="32"/>
      <c r="JY73" s="32"/>
      <c r="JZ73" s="32"/>
      <c r="KA73" s="32"/>
      <c r="KB73" s="32"/>
      <c r="KC73" s="32"/>
      <c r="KD73" s="32"/>
      <c r="KE73" s="32"/>
      <c r="KF73" s="32"/>
      <c r="KG73" s="32"/>
      <c r="KH73" s="32"/>
      <c r="KI73" s="32"/>
      <c r="KJ73" s="32"/>
      <c r="KK73" s="32"/>
      <c r="KL73" s="32"/>
      <c r="KM73" s="32"/>
      <c r="KN73" s="32"/>
      <c r="KO73" s="32"/>
      <c r="KP73" s="32"/>
      <c r="KQ73" s="32"/>
      <c r="KR73" s="32"/>
      <c r="KS73" s="32"/>
      <c r="KT73" s="32"/>
      <c r="KU73" s="32"/>
      <c r="KV73" s="32"/>
      <c r="KW73" s="32"/>
      <c r="KX73" s="32"/>
    </row>
    <row r="74" spans="2:310" ht="30" customHeight="1" x14ac:dyDescent="0.25">
      <c r="B74" s="64" t="s">
        <v>120</v>
      </c>
      <c r="C74" s="65" t="s">
        <v>81</v>
      </c>
      <c r="D74" s="65" t="s">
        <v>86</v>
      </c>
      <c r="E74" s="66">
        <v>1</v>
      </c>
      <c r="F74" s="67">
        <v>46260</v>
      </c>
      <c r="G74" s="67">
        <v>46261</v>
      </c>
      <c r="H74" s="39"/>
      <c r="I74" s="39">
        <f t="shared" si="10"/>
        <v>2</v>
      </c>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32"/>
      <c r="GR74" s="32"/>
      <c r="GS74" s="32"/>
      <c r="GT74" s="32"/>
      <c r="GU74" s="32"/>
      <c r="GV74" s="32"/>
      <c r="GW74" s="32"/>
      <c r="GX74" s="32"/>
      <c r="GY74" s="32"/>
      <c r="GZ74" s="32"/>
      <c r="HA74" s="32"/>
      <c r="HB74" s="32"/>
      <c r="HC74" s="32"/>
      <c r="HD74" s="32"/>
      <c r="HE74" s="32"/>
      <c r="HF74" s="32"/>
      <c r="HG74" s="32"/>
      <c r="HH74" s="32"/>
      <c r="HI74" s="32"/>
      <c r="HJ74" s="32"/>
      <c r="HK74" s="32"/>
      <c r="HL74" s="32"/>
      <c r="HM74" s="32"/>
      <c r="HN74" s="32"/>
      <c r="HO74" s="32"/>
      <c r="HP74" s="32"/>
      <c r="HQ74" s="32"/>
      <c r="HR74" s="32"/>
      <c r="HS74" s="32"/>
      <c r="HT74" s="32"/>
      <c r="HU74" s="32"/>
      <c r="HV74" s="32"/>
      <c r="HW74" s="32"/>
      <c r="HX74" s="32"/>
      <c r="HY74" s="32"/>
      <c r="HZ74" s="32"/>
      <c r="IA74" s="32"/>
      <c r="IB74" s="32"/>
      <c r="IC74" s="32"/>
      <c r="ID74" s="32"/>
      <c r="IE74" s="32"/>
      <c r="IF74" s="32"/>
      <c r="IG74" s="32"/>
      <c r="IH74" s="32"/>
      <c r="II74" s="32"/>
      <c r="IJ74" s="32"/>
      <c r="IK74" s="32"/>
      <c r="IL74" s="32"/>
      <c r="IM74" s="32"/>
      <c r="IN74" s="32"/>
      <c r="IO74" s="32"/>
      <c r="IP74" s="32"/>
      <c r="IQ74" s="32"/>
      <c r="IR74" s="32"/>
      <c r="IS74" s="32"/>
      <c r="IT74" s="32"/>
      <c r="IU74" s="32"/>
      <c r="IV74" s="32"/>
      <c r="IW74" s="32"/>
      <c r="IX74" s="32"/>
      <c r="IY74" s="32"/>
      <c r="IZ74" s="32"/>
      <c r="JA74" s="32"/>
      <c r="JB74" s="32"/>
      <c r="JC74" s="32"/>
      <c r="JD74" s="32"/>
      <c r="JE74" s="32"/>
      <c r="JF74" s="32"/>
      <c r="JG74" s="32"/>
      <c r="JH74" s="32"/>
      <c r="JI74" s="32"/>
      <c r="JJ74" s="32"/>
      <c r="JK74" s="32"/>
      <c r="JL74" s="32"/>
      <c r="JM74" s="32"/>
      <c r="JN74" s="32"/>
      <c r="JO74" s="32"/>
      <c r="JP74" s="32"/>
      <c r="JQ74" s="32"/>
      <c r="JR74" s="32"/>
      <c r="JS74" s="32"/>
      <c r="JT74" s="32"/>
      <c r="JU74" s="32"/>
      <c r="JV74" s="32"/>
      <c r="JW74" s="32"/>
      <c r="JX74" s="32"/>
      <c r="JY74" s="32"/>
      <c r="JZ74" s="32"/>
      <c r="KA74" s="32"/>
      <c r="KB74" s="32"/>
      <c r="KC74" s="32"/>
      <c r="KD74" s="32"/>
      <c r="KE74" s="32"/>
      <c r="KF74" s="32"/>
      <c r="KG74" s="32"/>
      <c r="KH74" s="32"/>
      <c r="KI74" s="32"/>
      <c r="KJ74" s="32"/>
      <c r="KK74" s="32"/>
      <c r="KL74" s="32"/>
      <c r="KM74" s="32"/>
      <c r="KN74" s="32"/>
      <c r="KO74" s="32"/>
      <c r="KP74" s="32"/>
      <c r="KQ74" s="32"/>
      <c r="KR74" s="32"/>
      <c r="KS74" s="32"/>
      <c r="KT74" s="32"/>
      <c r="KU74" s="32"/>
      <c r="KV74" s="32"/>
      <c r="KW74" s="32"/>
      <c r="KX74" s="32"/>
    </row>
    <row r="75" spans="2:310" ht="30" customHeight="1" x14ac:dyDescent="0.25">
      <c r="B75" s="64" t="s">
        <v>121</v>
      </c>
      <c r="C75" s="65" t="s">
        <v>81</v>
      </c>
      <c r="D75" s="65" t="s">
        <v>27</v>
      </c>
      <c r="E75" s="66">
        <v>1</v>
      </c>
      <c r="F75" s="67">
        <v>46262</v>
      </c>
      <c r="G75" s="67">
        <v>46262</v>
      </c>
      <c r="H75" s="39"/>
      <c r="I75" s="39">
        <f t="shared" si="10"/>
        <v>1</v>
      </c>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32"/>
      <c r="GR75" s="32"/>
      <c r="GS75" s="32"/>
      <c r="GT75" s="32"/>
      <c r="GU75" s="32"/>
      <c r="GV75" s="32"/>
      <c r="GW75" s="32"/>
      <c r="GX75" s="32"/>
      <c r="GY75" s="32"/>
      <c r="GZ75" s="32"/>
      <c r="HA75" s="32"/>
      <c r="HB75" s="32"/>
      <c r="HC75" s="32"/>
      <c r="HD75" s="32"/>
      <c r="HE75" s="32"/>
      <c r="HF75" s="32"/>
      <c r="HG75" s="32"/>
      <c r="HH75" s="32"/>
      <c r="HI75" s="32"/>
      <c r="HJ75" s="32"/>
      <c r="HK75" s="32"/>
      <c r="HL75" s="32"/>
      <c r="HM75" s="32"/>
      <c r="HN75" s="32"/>
      <c r="HO75" s="32"/>
      <c r="HP75" s="32"/>
      <c r="HQ75" s="32"/>
      <c r="HR75" s="32"/>
      <c r="HS75" s="32"/>
      <c r="HT75" s="32"/>
      <c r="HU75" s="32"/>
      <c r="HV75" s="32"/>
      <c r="HW75" s="32"/>
      <c r="HX75" s="32"/>
      <c r="HY75" s="32"/>
      <c r="HZ75" s="32"/>
      <c r="IA75" s="32"/>
      <c r="IB75" s="32"/>
      <c r="IC75" s="32"/>
      <c r="ID75" s="32"/>
      <c r="IE75" s="32"/>
      <c r="IF75" s="32"/>
      <c r="IG75" s="32"/>
      <c r="IH75" s="32"/>
      <c r="II75" s="32"/>
      <c r="IJ75" s="32"/>
      <c r="IK75" s="32"/>
      <c r="IL75" s="32"/>
      <c r="IM75" s="32"/>
      <c r="IN75" s="32"/>
      <c r="IO75" s="32"/>
      <c r="IP75" s="32"/>
      <c r="IQ75" s="32"/>
      <c r="IR75" s="32"/>
      <c r="IS75" s="32"/>
      <c r="IT75" s="32"/>
      <c r="IU75" s="32"/>
      <c r="IV75" s="32"/>
      <c r="IW75" s="32"/>
      <c r="IX75" s="32"/>
      <c r="IY75" s="32"/>
      <c r="IZ75" s="32"/>
      <c r="JA75" s="32"/>
      <c r="JB75" s="32"/>
      <c r="JC75" s="32"/>
      <c r="JD75" s="32"/>
      <c r="JE75" s="32"/>
      <c r="JF75" s="32"/>
      <c r="JG75" s="32"/>
      <c r="JH75" s="32"/>
      <c r="JI75" s="32"/>
      <c r="JJ75" s="32"/>
      <c r="JK75" s="32"/>
      <c r="JL75" s="32"/>
      <c r="JM75" s="32"/>
      <c r="JN75" s="32"/>
      <c r="JO75" s="32"/>
      <c r="JP75" s="32"/>
      <c r="JQ75" s="32"/>
      <c r="JR75" s="32"/>
      <c r="JS75" s="32"/>
      <c r="JT75" s="32"/>
      <c r="JU75" s="32"/>
      <c r="JV75" s="32"/>
      <c r="JW75" s="32"/>
      <c r="JX75" s="32"/>
      <c r="JY75" s="32"/>
      <c r="JZ75" s="32"/>
      <c r="KA75" s="32"/>
      <c r="KB75" s="32"/>
      <c r="KC75" s="32"/>
      <c r="KD75" s="32"/>
      <c r="KE75" s="32"/>
      <c r="KF75" s="32"/>
      <c r="KG75" s="32"/>
      <c r="KH75" s="32"/>
      <c r="KI75" s="32"/>
      <c r="KJ75" s="32"/>
      <c r="KK75" s="32"/>
      <c r="KL75" s="32"/>
      <c r="KM75" s="32"/>
      <c r="KN75" s="32"/>
      <c r="KO75" s="32"/>
      <c r="KP75" s="32"/>
      <c r="KQ75" s="32"/>
      <c r="KR75" s="32"/>
      <c r="KS75" s="32"/>
      <c r="KT75" s="32"/>
      <c r="KU75" s="32"/>
      <c r="KV75" s="32"/>
      <c r="KW75" s="32"/>
      <c r="KX75" s="32"/>
    </row>
    <row r="76" spans="2:310" ht="30" customHeight="1" x14ac:dyDescent="0.25">
      <c r="B76" s="64" t="s">
        <v>122</v>
      </c>
      <c r="C76" s="65" t="s">
        <v>81</v>
      </c>
      <c r="D76" s="65" t="s">
        <v>77</v>
      </c>
      <c r="E76" s="66">
        <v>1</v>
      </c>
      <c r="F76" s="67">
        <v>46262</v>
      </c>
      <c r="G76" s="67">
        <v>46265</v>
      </c>
      <c r="H76" s="39"/>
      <c r="I76" s="39">
        <f t="shared" si="10"/>
        <v>4</v>
      </c>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32"/>
      <c r="GR76" s="32"/>
      <c r="GS76" s="32"/>
      <c r="GT76" s="32"/>
      <c r="GU76" s="32"/>
      <c r="GV76" s="32"/>
      <c r="GW76" s="32"/>
      <c r="GX76" s="32"/>
      <c r="GY76" s="32"/>
      <c r="GZ76" s="32"/>
      <c r="HA76" s="32"/>
      <c r="HB76" s="32"/>
      <c r="HC76" s="32"/>
      <c r="HD76" s="32"/>
      <c r="HE76" s="32"/>
      <c r="HF76" s="32"/>
      <c r="HG76" s="32"/>
      <c r="HH76" s="32"/>
      <c r="HI76" s="32"/>
      <c r="HJ76" s="32"/>
      <c r="HK76" s="32"/>
      <c r="HL76" s="32"/>
      <c r="HM76" s="32"/>
      <c r="HN76" s="32"/>
      <c r="HO76" s="32"/>
      <c r="HP76" s="32"/>
      <c r="HQ76" s="32"/>
      <c r="HR76" s="32"/>
      <c r="HS76" s="32"/>
      <c r="HT76" s="32"/>
      <c r="HU76" s="32"/>
      <c r="HV76" s="32"/>
      <c r="HW76" s="32"/>
      <c r="HX76" s="32"/>
      <c r="HY76" s="32"/>
      <c r="HZ76" s="32"/>
      <c r="IA76" s="32"/>
      <c r="IB76" s="32"/>
      <c r="IC76" s="32"/>
      <c r="ID76" s="32"/>
      <c r="IE76" s="32"/>
      <c r="IF76" s="32"/>
      <c r="IG76" s="32"/>
      <c r="IH76" s="32"/>
      <c r="II76" s="32"/>
      <c r="IJ76" s="32"/>
      <c r="IK76" s="32"/>
      <c r="IL76" s="32"/>
      <c r="IM76" s="32"/>
      <c r="IN76" s="32"/>
      <c r="IO76" s="32"/>
      <c r="IP76" s="32"/>
      <c r="IQ76" s="32"/>
      <c r="IR76" s="32"/>
      <c r="IS76" s="32"/>
      <c r="IT76" s="32"/>
      <c r="IU76" s="32"/>
      <c r="IV76" s="32"/>
      <c r="IW76" s="32"/>
      <c r="IX76" s="32"/>
      <c r="IY76" s="32"/>
      <c r="IZ76" s="32"/>
      <c r="JA76" s="32"/>
      <c r="JB76" s="32"/>
      <c r="JC76" s="32"/>
      <c r="JD76" s="32"/>
      <c r="JE76" s="32"/>
      <c r="JF76" s="32"/>
      <c r="JG76" s="32"/>
      <c r="JH76" s="32"/>
      <c r="JI76" s="32"/>
      <c r="JJ76" s="32"/>
      <c r="JK76" s="32"/>
      <c r="JL76" s="32"/>
      <c r="JM76" s="32"/>
      <c r="JN76" s="32"/>
      <c r="JO76" s="32"/>
      <c r="JP76" s="32"/>
      <c r="JQ76" s="32"/>
      <c r="JR76" s="32"/>
      <c r="JS76" s="32"/>
      <c r="JT76" s="32"/>
      <c r="JU76" s="32"/>
      <c r="JV76" s="32"/>
      <c r="JW76" s="32"/>
      <c r="JX76" s="32"/>
      <c r="JY76" s="32"/>
      <c r="JZ76" s="32"/>
      <c r="KA76" s="32"/>
      <c r="KB76" s="32"/>
      <c r="KC76" s="32"/>
      <c r="KD76" s="32"/>
      <c r="KE76" s="32"/>
      <c r="KF76" s="32"/>
      <c r="KG76" s="32"/>
      <c r="KH76" s="32"/>
      <c r="KI76" s="32"/>
      <c r="KJ76" s="32"/>
      <c r="KK76" s="32"/>
      <c r="KL76" s="32"/>
      <c r="KM76" s="32"/>
      <c r="KN76" s="32"/>
      <c r="KO76" s="32"/>
      <c r="KP76" s="32"/>
      <c r="KQ76" s="32"/>
      <c r="KR76" s="32"/>
      <c r="KS76" s="32"/>
      <c r="KT76" s="32"/>
      <c r="KU76" s="32"/>
      <c r="KV76" s="32"/>
      <c r="KW76" s="32"/>
      <c r="KX76" s="32"/>
    </row>
    <row r="77" spans="2:310" ht="30" customHeight="1" x14ac:dyDescent="0.25">
      <c r="B77" s="64" t="s">
        <v>123</v>
      </c>
      <c r="C77" s="65" t="s">
        <v>81</v>
      </c>
      <c r="D77" s="65" t="s">
        <v>77</v>
      </c>
      <c r="E77" s="66">
        <v>1</v>
      </c>
      <c r="F77" s="67">
        <v>46272</v>
      </c>
      <c r="G77" s="67">
        <v>46273</v>
      </c>
      <c r="H77" s="39"/>
      <c r="I77" s="39">
        <f t="shared" si="10"/>
        <v>2</v>
      </c>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32"/>
      <c r="GR77" s="32"/>
      <c r="GS77" s="32"/>
      <c r="GT77" s="32"/>
      <c r="GU77" s="32"/>
      <c r="GV77" s="32"/>
      <c r="GW77" s="32"/>
      <c r="GX77" s="32"/>
      <c r="GY77" s="32"/>
      <c r="GZ77" s="32"/>
      <c r="HA77" s="32"/>
      <c r="HB77" s="32"/>
      <c r="HC77" s="32"/>
      <c r="HD77" s="32"/>
      <c r="HE77" s="32"/>
      <c r="HF77" s="32"/>
      <c r="HG77" s="32"/>
      <c r="HH77" s="32"/>
      <c r="HI77" s="32"/>
      <c r="HJ77" s="32"/>
      <c r="HK77" s="32"/>
      <c r="HL77" s="32"/>
      <c r="HM77" s="32"/>
      <c r="HN77" s="32"/>
      <c r="HO77" s="32"/>
      <c r="HP77" s="32"/>
      <c r="HQ77" s="32"/>
      <c r="HR77" s="32"/>
      <c r="HS77" s="32"/>
      <c r="HT77" s="32"/>
      <c r="HU77" s="32"/>
      <c r="HV77" s="32"/>
      <c r="HW77" s="32"/>
      <c r="HX77" s="32"/>
      <c r="HY77" s="32"/>
      <c r="HZ77" s="32"/>
      <c r="IA77" s="32"/>
      <c r="IB77" s="32"/>
      <c r="IC77" s="32"/>
      <c r="ID77" s="32"/>
      <c r="IE77" s="32"/>
      <c r="IF77" s="32"/>
      <c r="IG77" s="32"/>
      <c r="IH77" s="32"/>
      <c r="II77" s="32"/>
      <c r="IJ77" s="32"/>
      <c r="IK77" s="32"/>
      <c r="IL77" s="32"/>
      <c r="IM77" s="32"/>
      <c r="IN77" s="32"/>
      <c r="IO77" s="32"/>
      <c r="IP77" s="32"/>
      <c r="IQ77" s="32"/>
      <c r="IR77" s="32"/>
      <c r="IS77" s="32"/>
      <c r="IT77" s="32"/>
      <c r="IU77" s="32"/>
      <c r="IV77" s="32"/>
      <c r="IW77" s="32"/>
      <c r="IX77" s="32"/>
      <c r="IY77" s="32"/>
      <c r="IZ77" s="32"/>
      <c r="JA77" s="32"/>
      <c r="JB77" s="32"/>
      <c r="JC77" s="32"/>
      <c r="JD77" s="32"/>
      <c r="JE77" s="32"/>
      <c r="JF77" s="32"/>
      <c r="JG77" s="32"/>
      <c r="JH77" s="32"/>
      <c r="JI77" s="32"/>
      <c r="JJ77" s="32"/>
      <c r="JK77" s="32"/>
      <c r="JL77" s="32"/>
      <c r="JM77" s="32"/>
      <c r="JN77" s="32"/>
      <c r="JO77" s="32"/>
      <c r="JP77" s="32"/>
      <c r="JQ77" s="32"/>
      <c r="JR77" s="32"/>
      <c r="JS77" s="32"/>
      <c r="JT77" s="32"/>
      <c r="JU77" s="32"/>
      <c r="JV77" s="32"/>
      <c r="JW77" s="32"/>
      <c r="JX77" s="32"/>
      <c r="JY77" s="32"/>
      <c r="JZ77" s="32"/>
      <c r="KA77" s="32"/>
      <c r="KB77" s="32"/>
      <c r="KC77" s="32"/>
      <c r="KD77" s="32"/>
      <c r="KE77" s="32"/>
      <c r="KF77" s="32"/>
      <c r="KG77" s="32"/>
      <c r="KH77" s="32"/>
      <c r="KI77" s="32"/>
      <c r="KJ77" s="32"/>
      <c r="KK77" s="32"/>
      <c r="KL77" s="32"/>
      <c r="KM77" s="32"/>
      <c r="KN77" s="32"/>
      <c r="KO77" s="32"/>
      <c r="KP77" s="32"/>
      <c r="KQ77" s="32"/>
      <c r="KR77" s="32"/>
      <c r="KS77" s="32"/>
      <c r="KT77" s="32"/>
      <c r="KU77" s="32"/>
      <c r="KV77" s="32"/>
      <c r="KW77" s="32"/>
      <c r="KX77" s="32"/>
    </row>
    <row r="78" spans="2:310" ht="30" customHeight="1" x14ac:dyDescent="0.25">
      <c r="B78" s="64" t="s">
        <v>124</v>
      </c>
      <c r="C78" s="65" t="s">
        <v>81</v>
      </c>
      <c r="D78" s="65" t="s">
        <v>106</v>
      </c>
      <c r="E78" s="66">
        <v>1</v>
      </c>
      <c r="F78" s="67">
        <v>46266</v>
      </c>
      <c r="G78" s="67">
        <v>46267</v>
      </c>
      <c r="H78" s="39"/>
      <c r="I78" s="39">
        <f t="shared" si="10"/>
        <v>2</v>
      </c>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32"/>
      <c r="GR78" s="32"/>
      <c r="GS78" s="32"/>
      <c r="GT78" s="32"/>
      <c r="GU78" s="32"/>
      <c r="GV78" s="32"/>
      <c r="GW78" s="32"/>
      <c r="GX78" s="32"/>
      <c r="GY78" s="32"/>
      <c r="GZ78" s="32"/>
      <c r="HA78" s="32"/>
      <c r="HB78" s="32"/>
      <c r="HC78" s="32"/>
      <c r="HD78" s="32"/>
      <c r="HE78" s="32"/>
      <c r="HF78" s="32"/>
      <c r="HG78" s="32"/>
      <c r="HH78" s="32"/>
      <c r="HI78" s="32"/>
      <c r="HJ78" s="32"/>
      <c r="HK78" s="32"/>
      <c r="HL78" s="32"/>
      <c r="HM78" s="32"/>
      <c r="HN78" s="32"/>
      <c r="HO78" s="32"/>
      <c r="HP78" s="32"/>
      <c r="HQ78" s="32"/>
      <c r="HR78" s="32"/>
      <c r="HS78" s="32"/>
      <c r="HT78" s="32"/>
      <c r="HU78" s="32"/>
      <c r="HV78" s="32"/>
      <c r="HW78" s="32"/>
      <c r="HX78" s="32"/>
      <c r="HY78" s="32"/>
      <c r="HZ78" s="32"/>
      <c r="IA78" s="32"/>
      <c r="IB78" s="32"/>
      <c r="IC78" s="32"/>
      <c r="ID78" s="32"/>
      <c r="IE78" s="32"/>
      <c r="IF78" s="32"/>
      <c r="IG78" s="32"/>
      <c r="IH78" s="32"/>
      <c r="II78" s="32"/>
      <c r="IJ78" s="32"/>
      <c r="IK78" s="32"/>
      <c r="IL78" s="32"/>
      <c r="IM78" s="32"/>
      <c r="IN78" s="32"/>
      <c r="IO78" s="32"/>
      <c r="IP78" s="32"/>
      <c r="IQ78" s="32"/>
      <c r="IR78" s="32"/>
      <c r="IS78" s="32"/>
      <c r="IT78" s="32"/>
      <c r="IU78" s="32"/>
      <c r="IV78" s="32"/>
      <c r="IW78" s="32"/>
      <c r="IX78" s="32"/>
      <c r="IY78" s="32"/>
      <c r="IZ78" s="32"/>
      <c r="JA78" s="32"/>
      <c r="JB78" s="32"/>
      <c r="JC78" s="32"/>
      <c r="JD78" s="32"/>
      <c r="JE78" s="32"/>
      <c r="JF78" s="32"/>
      <c r="JG78" s="32"/>
      <c r="JH78" s="32"/>
      <c r="JI78" s="32"/>
      <c r="JJ78" s="32"/>
      <c r="JK78" s="32"/>
      <c r="JL78" s="32"/>
      <c r="JM78" s="32"/>
      <c r="JN78" s="32"/>
      <c r="JO78" s="32"/>
      <c r="JP78" s="32"/>
      <c r="JQ78" s="32"/>
      <c r="JR78" s="32"/>
      <c r="JS78" s="32"/>
      <c r="JT78" s="32"/>
      <c r="JU78" s="32"/>
      <c r="JV78" s="32"/>
      <c r="JW78" s="32"/>
      <c r="JX78" s="32"/>
      <c r="JY78" s="32"/>
      <c r="JZ78" s="32"/>
      <c r="KA78" s="32"/>
      <c r="KB78" s="32"/>
      <c r="KC78" s="32"/>
      <c r="KD78" s="32"/>
      <c r="KE78" s="32"/>
      <c r="KF78" s="32"/>
      <c r="KG78" s="32"/>
      <c r="KH78" s="32"/>
      <c r="KI78" s="32"/>
      <c r="KJ78" s="32"/>
      <c r="KK78" s="32"/>
      <c r="KL78" s="32"/>
      <c r="KM78" s="32"/>
      <c r="KN78" s="32"/>
      <c r="KO78" s="32"/>
      <c r="KP78" s="32"/>
      <c r="KQ78" s="32"/>
      <c r="KR78" s="32"/>
      <c r="KS78" s="32"/>
      <c r="KT78" s="32"/>
      <c r="KU78" s="32"/>
      <c r="KV78" s="32"/>
      <c r="KW78" s="32"/>
      <c r="KX78" s="32"/>
    </row>
    <row r="79" spans="2:310" ht="30" customHeight="1" x14ac:dyDescent="0.25">
      <c r="B79" s="64" t="s">
        <v>125</v>
      </c>
      <c r="C79" s="65" t="s">
        <v>81</v>
      </c>
      <c r="D79" s="65" t="s">
        <v>89</v>
      </c>
      <c r="E79" s="66">
        <v>1</v>
      </c>
      <c r="F79" s="67">
        <v>46266</v>
      </c>
      <c r="G79" s="67">
        <v>46267</v>
      </c>
      <c r="H79" s="39"/>
      <c r="I79" s="39">
        <f t="shared" si="10"/>
        <v>2</v>
      </c>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32"/>
      <c r="GR79" s="32"/>
      <c r="GS79" s="32"/>
      <c r="GT79" s="32"/>
      <c r="GU79" s="32"/>
      <c r="GV79" s="32"/>
      <c r="GW79" s="32"/>
      <c r="GX79" s="32"/>
      <c r="GY79" s="32"/>
      <c r="GZ79" s="32"/>
      <c r="HA79" s="32"/>
      <c r="HB79" s="32"/>
      <c r="HC79" s="32"/>
      <c r="HD79" s="32"/>
      <c r="HE79" s="32"/>
      <c r="HF79" s="32"/>
      <c r="HG79" s="32"/>
      <c r="HH79" s="32"/>
      <c r="HI79" s="32"/>
      <c r="HJ79" s="32"/>
      <c r="HK79" s="32"/>
      <c r="HL79" s="32"/>
      <c r="HM79" s="32"/>
      <c r="HN79" s="32"/>
      <c r="HO79" s="32"/>
      <c r="HP79" s="32"/>
      <c r="HQ79" s="32"/>
      <c r="HR79" s="32"/>
      <c r="HS79" s="32"/>
      <c r="HT79" s="32"/>
      <c r="HU79" s="32"/>
      <c r="HV79" s="32"/>
      <c r="HW79" s="32"/>
      <c r="HX79" s="32"/>
      <c r="HY79" s="32"/>
      <c r="HZ79" s="32"/>
      <c r="IA79" s="32"/>
      <c r="IB79" s="32"/>
      <c r="IC79" s="32"/>
      <c r="ID79" s="32"/>
      <c r="IE79" s="32"/>
      <c r="IF79" s="32"/>
      <c r="IG79" s="32"/>
      <c r="IH79" s="32"/>
      <c r="II79" s="32"/>
      <c r="IJ79" s="32"/>
      <c r="IK79" s="32"/>
      <c r="IL79" s="32"/>
      <c r="IM79" s="32"/>
      <c r="IN79" s="32"/>
      <c r="IO79" s="32"/>
      <c r="IP79" s="32"/>
      <c r="IQ79" s="32"/>
      <c r="IR79" s="32"/>
      <c r="IS79" s="32"/>
      <c r="IT79" s="32"/>
      <c r="IU79" s="32"/>
      <c r="IV79" s="32"/>
      <c r="IW79" s="32"/>
      <c r="IX79" s="32"/>
      <c r="IY79" s="32"/>
      <c r="IZ79" s="32"/>
      <c r="JA79" s="32"/>
      <c r="JB79" s="32"/>
      <c r="JC79" s="32"/>
      <c r="JD79" s="32"/>
      <c r="JE79" s="32"/>
      <c r="JF79" s="32"/>
      <c r="JG79" s="32"/>
      <c r="JH79" s="32"/>
      <c r="JI79" s="32"/>
      <c r="JJ79" s="32"/>
      <c r="JK79" s="32"/>
      <c r="JL79" s="32"/>
      <c r="JM79" s="32"/>
      <c r="JN79" s="32"/>
      <c r="JO79" s="32"/>
      <c r="JP79" s="32"/>
      <c r="JQ79" s="32"/>
      <c r="JR79" s="32"/>
      <c r="JS79" s="32"/>
      <c r="JT79" s="32"/>
      <c r="JU79" s="32"/>
      <c r="JV79" s="32"/>
      <c r="JW79" s="32"/>
      <c r="JX79" s="32"/>
      <c r="JY79" s="32"/>
      <c r="JZ79" s="32"/>
      <c r="KA79" s="32"/>
      <c r="KB79" s="32"/>
      <c r="KC79" s="32"/>
      <c r="KD79" s="32"/>
      <c r="KE79" s="32"/>
      <c r="KF79" s="32"/>
      <c r="KG79" s="32"/>
      <c r="KH79" s="32"/>
      <c r="KI79" s="32"/>
      <c r="KJ79" s="32"/>
      <c r="KK79" s="32"/>
      <c r="KL79" s="32"/>
      <c r="KM79" s="32"/>
      <c r="KN79" s="32"/>
      <c r="KO79" s="32"/>
      <c r="KP79" s="32"/>
      <c r="KQ79" s="32"/>
      <c r="KR79" s="32"/>
      <c r="KS79" s="32"/>
      <c r="KT79" s="32"/>
      <c r="KU79" s="32"/>
      <c r="KV79" s="32"/>
      <c r="KW79" s="32"/>
      <c r="KX79" s="32"/>
    </row>
    <row r="80" spans="2:310" ht="30" customHeight="1" x14ac:dyDescent="0.25">
      <c r="B80" s="64" t="s">
        <v>126</v>
      </c>
      <c r="C80" s="65" t="s">
        <v>81</v>
      </c>
      <c r="D80" s="65" t="s">
        <v>77</v>
      </c>
      <c r="E80" s="66">
        <v>1</v>
      </c>
      <c r="F80" s="67">
        <v>46268</v>
      </c>
      <c r="G80" s="67">
        <v>46269</v>
      </c>
      <c r="H80" s="39"/>
      <c r="I80" s="39">
        <f t="shared" si="10"/>
        <v>2</v>
      </c>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32"/>
      <c r="GR80" s="32"/>
      <c r="GS80" s="32"/>
      <c r="GT80" s="32"/>
      <c r="GU80" s="32"/>
      <c r="GV80" s="32"/>
      <c r="GW80" s="32"/>
      <c r="GX80" s="32"/>
      <c r="GY80" s="32"/>
      <c r="GZ80" s="32"/>
      <c r="HA80" s="32"/>
      <c r="HB80" s="32"/>
      <c r="HC80" s="32"/>
      <c r="HD80" s="32"/>
      <c r="HE80" s="32"/>
      <c r="HF80" s="32"/>
      <c r="HG80" s="32"/>
      <c r="HH80" s="32"/>
      <c r="HI80" s="32"/>
      <c r="HJ80" s="32"/>
      <c r="HK80" s="32"/>
      <c r="HL80" s="32"/>
      <c r="HM80" s="32"/>
      <c r="HN80" s="32"/>
      <c r="HO80" s="32"/>
      <c r="HP80" s="32"/>
      <c r="HQ80" s="32"/>
      <c r="HR80" s="32"/>
      <c r="HS80" s="32"/>
      <c r="HT80" s="32"/>
      <c r="HU80" s="32"/>
      <c r="HV80" s="32"/>
      <c r="HW80" s="32"/>
      <c r="HX80" s="32"/>
      <c r="HY80" s="32"/>
      <c r="HZ80" s="32"/>
      <c r="IA80" s="32"/>
      <c r="IB80" s="32"/>
      <c r="IC80" s="32"/>
      <c r="ID80" s="32"/>
      <c r="IE80" s="32"/>
      <c r="IF80" s="32"/>
      <c r="IG80" s="32"/>
      <c r="IH80" s="32"/>
      <c r="II80" s="32"/>
      <c r="IJ80" s="32"/>
      <c r="IK80" s="32"/>
      <c r="IL80" s="32"/>
      <c r="IM80" s="32"/>
      <c r="IN80" s="32"/>
      <c r="IO80" s="32"/>
      <c r="IP80" s="32"/>
      <c r="IQ80" s="32"/>
      <c r="IR80" s="32"/>
      <c r="IS80" s="32"/>
      <c r="IT80" s="32"/>
      <c r="IU80" s="32"/>
      <c r="IV80" s="32"/>
      <c r="IW80" s="32"/>
      <c r="IX80" s="32"/>
      <c r="IY80" s="32"/>
      <c r="IZ80" s="32"/>
      <c r="JA80" s="32"/>
      <c r="JB80" s="32"/>
      <c r="JC80" s="32"/>
      <c r="JD80" s="32"/>
      <c r="JE80" s="32"/>
      <c r="JF80" s="32"/>
      <c r="JG80" s="32"/>
      <c r="JH80" s="32"/>
      <c r="JI80" s="32"/>
      <c r="JJ80" s="32"/>
      <c r="JK80" s="32"/>
      <c r="JL80" s="32"/>
      <c r="JM80" s="32"/>
      <c r="JN80" s="32"/>
      <c r="JO80" s="32"/>
      <c r="JP80" s="32"/>
      <c r="JQ80" s="32"/>
      <c r="JR80" s="32"/>
      <c r="JS80" s="32"/>
      <c r="JT80" s="32"/>
      <c r="JU80" s="32"/>
      <c r="JV80" s="32"/>
      <c r="JW80" s="32"/>
      <c r="JX80" s="32"/>
      <c r="JY80" s="32"/>
      <c r="JZ80" s="32"/>
      <c r="KA80" s="32"/>
      <c r="KB80" s="32"/>
      <c r="KC80" s="32"/>
      <c r="KD80" s="32"/>
      <c r="KE80" s="32"/>
      <c r="KF80" s="32"/>
      <c r="KG80" s="32"/>
      <c r="KH80" s="32"/>
      <c r="KI80" s="32"/>
      <c r="KJ80" s="32"/>
      <c r="KK80" s="32"/>
      <c r="KL80" s="32"/>
      <c r="KM80" s="32"/>
      <c r="KN80" s="32"/>
      <c r="KO80" s="32"/>
      <c r="KP80" s="32"/>
      <c r="KQ80" s="32"/>
      <c r="KR80" s="32"/>
      <c r="KS80" s="32"/>
      <c r="KT80" s="32"/>
      <c r="KU80" s="32"/>
      <c r="KV80" s="32"/>
      <c r="KW80" s="32"/>
      <c r="KX80" s="32"/>
    </row>
    <row r="81" spans="2:310" ht="30" customHeight="1" x14ac:dyDescent="0.25">
      <c r="B81" s="64" t="s">
        <v>126</v>
      </c>
      <c r="C81" s="65" t="s">
        <v>81</v>
      </c>
      <c r="D81" s="65" t="s">
        <v>86</v>
      </c>
      <c r="E81" s="66">
        <v>1</v>
      </c>
      <c r="F81" s="67">
        <v>46268</v>
      </c>
      <c r="G81" s="67">
        <v>46269</v>
      </c>
      <c r="H81" s="39"/>
      <c r="I81" s="39">
        <f t="shared" si="10"/>
        <v>2</v>
      </c>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32"/>
      <c r="GR81" s="32"/>
      <c r="GS81" s="32"/>
      <c r="GT81" s="32"/>
      <c r="GU81" s="32"/>
      <c r="GV81" s="32"/>
      <c r="GW81" s="32"/>
      <c r="GX81" s="32"/>
      <c r="GY81" s="32"/>
      <c r="GZ81" s="32"/>
      <c r="HA81" s="32"/>
      <c r="HB81" s="32"/>
      <c r="HC81" s="32"/>
      <c r="HD81" s="32"/>
      <c r="HE81" s="32"/>
      <c r="HF81" s="32"/>
      <c r="HG81" s="32"/>
      <c r="HH81" s="32"/>
      <c r="HI81" s="32"/>
      <c r="HJ81" s="32"/>
      <c r="HK81" s="32"/>
      <c r="HL81" s="32"/>
      <c r="HM81" s="32"/>
      <c r="HN81" s="32"/>
      <c r="HO81" s="32"/>
      <c r="HP81" s="32"/>
      <c r="HQ81" s="32"/>
      <c r="HR81" s="32"/>
      <c r="HS81" s="32"/>
      <c r="HT81" s="32"/>
      <c r="HU81" s="32"/>
      <c r="HV81" s="32"/>
      <c r="HW81" s="32"/>
      <c r="HX81" s="32"/>
      <c r="HY81" s="32"/>
      <c r="HZ81" s="32"/>
      <c r="IA81" s="32"/>
      <c r="IB81" s="32"/>
      <c r="IC81" s="32"/>
      <c r="ID81" s="32"/>
      <c r="IE81" s="32"/>
      <c r="IF81" s="32"/>
      <c r="IG81" s="32"/>
      <c r="IH81" s="32"/>
      <c r="II81" s="32"/>
      <c r="IJ81" s="32"/>
      <c r="IK81" s="32"/>
      <c r="IL81" s="32"/>
      <c r="IM81" s="32"/>
      <c r="IN81" s="32"/>
      <c r="IO81" s="32"/>
      <c r="IP81" s="32"/>
      <c r="IQ81" s="32"/>
      <c r="IR81" s="32"/>
      <c r="IS81" s="32"/>
      <c r="IT81" s="32"/>
      <c r="IU81" s="32"/>
      <c r="IV81" s="32"/>
      <c r="IW81" s="32"/>
      <c r="IX81" s="32"/>
      <c r="IY81" s="32"/>
      <c r="IZ81" s="32"/>
      <c r="JA81" s="32"/>
      <c r="JB81" s="32"/>
      <c r="JC81" s="32"/>
      <c r="JD81" s="32"/>
      <c r="JE81" s="32"/>
      <c r="JF81" s="32"/>
      <c r="JG81" s="32"/>
      <c r="JH81" s="32"/>
      <c r="JI81" s="32"/>
      <c r="JJ81" s="32"/>
      <c r="JK81" s="32"/>
      <c r="JL81" s="32"/>
      <c r="JM81" s="32"/>
      <c r="JN81" s="32"/>
      <c r="JO81" s="32"/>
      <c r="JP81" s="32"/>
      <c r="JQ81" s="32"/>
      <c r="JR81" s="32"/>
      <c r="JS81" s="32"/>
      <c r="JT81" s="32"/>
      <c r="JU81" s="32"/>
      <c r="JV81" s="32"/>
      <c r="JW81" s="32"/>
      <c r="JX81" s="32"/>
      <c r="JY81" s="32"/>
      <c r="JZ81" s="32"/>
      <c r="KA81" s="32"/>
      <c r="KB81" s="32"/>
      <c r="KC81" s="32"/>
      <c r="KD81" s="32"/>
      <c r="KE81" s="32"/>
      <c r="KF81" s="32"/>
      <c r="KG81" s="32"/>
      <c r="KH81" s="32"/>
      <c r="KI81" s="32"/>
      <c r="KJ81" s="32"/>
      <c r="KK81" s="32"/>
      <c r="KL81" s="32"/>
      <c r="KM81" s="32"/>
      <c r="KN81" s="32"/>
      <c r="KO81" s="32"/>
      <c r="KP81" s="32"/>
      <c r="KQ81" s="32"/>
      <c r="KR81" s="32"/>
      <c r="KS81" s="32"/>
      <c r="KT81" s="32"/>
      <c r="KU81" s="32"/>
      <c r="KV81" s="32"/>
      <c r="KW81" s="32"/>
      <c r="KX81" s="32"/>
    </row>
    <row r="82" spans="2:310" ht="30" customHeight="1" x14ac:dyDescent="0.25">
      <c r="B82" s="64" t="s">
        <v>127</v>
      </c>
      <c r="C82" s="65" t="s">
        <v>81</v>
      </c>
      <c r="D82" s="65" t="s">
        <v>86</v>
      </c>
      <c r="E82" s="66">
        <v>1</v>
      </c>
      <c r="F82" s="67">
        <v>46269</v>
      </c>
      <c r="G82" s="67">
        <v>46272</v>
      </c>
      <c r="H82" s="39"/>
      <c r="I82" s="39">
        <f t="shared" si="10"/>
        <v>4</v>
      </c>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32"/>
      <c r="GR82" s="32"/>
      <c r="GS82" s="32"/>
      <c r="GT82" s="32"/>
      <c r="GU82" s="32"/>
      <c r="GV82" s="32"/>
      <c r="GW82" s="32"/>
      <c r="GX82" s="32"/>
      <c r="GY82" s="32"/>
      <c r="GZ82" s="32"/>
      <c r="HA82" s="32"/>
      <c r="HB82" s="32"/>
      <c r="HC82" s="32"/>
      <c r="HD82" s="32"/>
      <c r="HE82" s="32"/>
      <c r="HF82" s="32"/>
      <c r="HG82" s="32"/>
      <c r="HH82" s="32"/>
      <c r="HI82" s="32"/>
      <c r="HJ82" s="32"/>
      <c r="HK82" s="32"/>
      <c r="HL82" s="32"/>
      <c r="HM82" s="32"/>
      <c r="HN82" s="32"/>
      <c r="HO82" s="32"/>
      <c r="HP82" s="32"/>
      <c r="HQ82" s="32"/>
      <c r="HR82" s="32"/>
      <c r="HS82" s="32"/>
      <c r="HT82" s="32"/>
      <c r="HU82" s="32"/>
      <c r="HV82" s="32"/>
      <c r="HW82" s="32"/>
      <c r="HX82" s="32"/>
      <c r="HY82" s="32"/>
      <c r="HZ82" s="32"/>
      <c r="IA82" s="32"/>
      <c r="IB82" s="32"/>
      <c r="IC82" s="32"/>
      <c r="ID82" s="32"/>
      <c r="IE82" s="32"/>
      <c r="IF82" s="32"/>
      <c r="IG82" s="32"/>
      <c r="IH82" s="32"/>
      <c r="II82" s="32"/>
      <c r="IJ82" s="32"/>
      <c r="IK82" s="32"/>
      <c r="IL82" s="32"/>
      <c r="IM82" s="32"/>
      <c r="IN82" s="32"/>
      <c r="IO82" s="32"/>
      <c r="IP82" s="32"/>
      <c r="IQ82" s="32"/>
      <c r="IR82" s="32"/>
      <c r="IS82" s="32"/>
      <c r="IT82" s="32"/>
      <c r="IU82" s="32"/>
      <c r="IV82" s="32"/>
      <c r="IW82" s="32"/>
      <c r="IX82" s="32"/>
      <c r="IY82" s="32"/>
      <c r="IZ82" s="32"/>
      <c r="JA82" s="32"/>
      <c r="JB82" s="32"/>
      <c r="JC82" s="32"/>
      <c r="JD82" s="32"/>
      <c r="JE82" s="32"/>
      <c r="JF82" s="32"/>
      <c r="JG82" s="32"/>
      <c r="JH82" s="32"/>
      <c r="JI82" s="32"/>
      <c r="JJ82" s="32"/>
      <c r="JK82" s="32"/>
      <c r="JL82" s="32"/>
      <c r="JM82" s="32"/>
      <c r="JN82" s="32"/>
      <c r="JO82" s="32"/>
      <c r="JP82" s="32"/>
      <c r="JQ82" s="32"/>
      <c r="JR82" s="32"/>
      <c r="JS82" s="32"/>
      <c r="JT82" s="32"/>
      <c r="JU82" s="32"/>
      <c r="JV82" s="32"/>
      <c r="JW82" s="32"/>
      <c r="JX82" s="32"/>
      <c r="JY82" s="32"/>
      <c r="JZ82" s="32"/>
      <c r="KA82" s="32"/>
      <c r="KB82" s="32"/>
      <c r="KC82" s="32"/>
      <c r="KD82" s="32"/>
      <c r="KE82" s="32"/>
      <c r="KF82" s="32"/>
      <c r="KG82" s="32"/>
      <c r="KH82" s="32"/>
      <c r="KI82" s="32"/>
      <c r="KJ82" s="32"/>
      <c r="KK82" s="32"/>
      <c r="KL82" s="32"/>
      <c r="KM82" s="32"/>
      <c r="KN82" s="32"/>
      <c r="KO82" s="32"/>
      <c r="KP82" s="32"/>
      <c r="KQ82" s="32"/>
      <c r="KR82" s="32"/>
      <c r="KS82" s="32"/>
      <c r="KT82" s="32"/>
      <c r="KU82" s="32"/>
      <c r="KV82" s="32"/>
      <c r="KW82" s="32"/>
      <c r="KX82" s="32"/>
    </row>
    <row r="83" spans="2:310" ht="30" customHeight="1" x14ac:dyDescent="0.25">
      <c r="B83" s="64" t="s">
        <v>127</v>
      </c>
      <c r="C83" s="65" t="s">
        <v>81</v>
      </c>
      <c r="D83" s="65" t="s">
        <v>77</v>
      </c>
      <c r="E83" s="66">
        <v>1</v>
      </c>
      <c r="F83" s="67">
        <v>46269</v>
      </c>
      <c r="G83" s="67">
        <v>46272</v>
      </c>
      <c r="H83" s="39"/>
      <c r="I83" s="39">
        <f t="shared" si="10"/>
        <v>4</v>
      </c>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32"/>
      <c r="GR83" s="32"/>
      <c r="GS83" s="32"/>
      <c r="GT83" s="32"/>
      <c r="GU83" s="32"/>
      <c r="GV83" s="32"/>
      <c r="GW83" s="32"/>
      <c r="GX83" s="32"/>
      <c r="GY83" s="32"/>
      <c r="GZ83" s="32"/>
      <c r="HA83" s="32"/>
      <c r="HB83" s="32"/>
      <c r="HC83" s="32"/>
      <c r="HD83" s="32"/>
      <c r="HE83" s="32"/>
      <c r="HF83" s="32"/>
      <c r="HG83" s="32"/>
      <c r="HH83" s="32"/>
      <c r="HI83" s="32"/>
      <c r="HJ83" s="32"/>
      <c r="HK83" s="32"/>
      <c r="HL83" s="32"/>
      <c r="HM83" s="32"/>
      <c r="HN83" s="32"/>
      <c r="HO83" s="32"/>
      <c r="HP83" s="32"/>
      <c r="HQ83" s="32"/>
      <c r="HR83" s="32"/>
      <c r="HS83" s="32"/>
      <c r="HT83" s="32"/>
      <c r="HU83" s="32"/>
      <c r="HV83" s="32"/>
      <c r="HW83" s="32"/>
      <c r="HX83" s="32"/>
      <c r="HY83" s="32"/>
      <c r="HZ83" s="32"/>
      <c r="IA83" s="32"/>
      <c r="IB83" s="32"/>
      <c r="IC83" s="32"/>
      <c r="ID83" s="32"/>
      <c r="IE83" s="32"/>
      <c r="IF83" s="32"/>
      <c r="IG83" s="32"/>
      <c r="IH83" s="32"/>
      <c r="II83" s="32"/>
      <c r="IJ83" s="32"/>
      <c r="IK83" s="32"/>
      <c r="IL83" s="32"/>
      <c r="IM83" s="32"/>
      <c r="IN83" s="32"/>
      <c r="IO83" s="32"/>
      <c r="IP83" s="32"/>
      <c r="IQ83" s="32"/>
      <c r="IR83" s="32"/>
      <c r="IS83" s="32"/>
      <c r="IT83" s="32"/>
      <c r="IU83" s="32"/>
      <c r="IV83" s="32"/>
      <c r="IW83" s="32"/>
      <c r="IX83" s="32"/>
      <c r="IY83" s="32"/>
      <c r="IZ83" s="32"/>
      <c r="JA83" s="32"/>
      <c r="JB83" s="32"/>
      <c r="JC83" s="32"/>
      <c r="JD83" s="32"/>
      <c r="JE83" s="32"/>
      <c r="JF83" s="32"/>
      <c r="JG83" s="32"/>
      <c r="JH83" s="32"/>
      <c r="JI83" s="32"/>
      <c r="JJ83" s="32"/>
      <c r="JK83" s="32"/>
      <c r="JL83" s="32"/>
      <c r="JM83" s="32"/>
      <c r="JN83" s="32"/>
      <c r="JO83" s="32"/>
      <c r="JP83" s="32"/>
      <c r="JQ83" s="32"/>
      <c r="JR83" s="32"/>
      <c r="JS83" s="32"/>
      <c r="JT83" s="32"/>
      <c r="JU83" s="32"/>
      <c r="JV83" s="32"/>
      <c r="JW83" s="32"/>
      <c r="JX83" s="32"/>
      <c r="JY83" s="32"/>
      <c r="JZ83" s="32"/>
      <c r="KA83" s="32"/>
      <c r="KB83" s="32"/>
      <c r="KC83" s="32"/>
      <c r="KD83" s="32"/>
      <c r="KE83" s="32"/>
      <c r="KF83" s="32"/>
      <c r="KG83" s="32"/>
      <c r="KH83" s="32"/>
      <c r="KI83" s="32"/>
      <c r="KJ83" s="32"/>
      <c r="KK83" s="32"/>
      <c r="KL83" s="32"/>
      <c r="KM83" s="32"/>
      <c r="KN83" s="32"/>
      <c r="KO83" s="32"/>
      <c r="KP83" s="32"/>
      <c r="KQ83" s="32"/>
      <c r="KR83" s="32"/>
      <c r="KS83" s="32"/>
      <c r="KT83" s="32"/>
      <c r="KU83" s="32"/>
      <c r="KV83" s="32"/>
      <c r="KW83" s="32"/>
      <c r="KX83" s="32"/>
    </row>
    <row r="84" spans="2:310" ht="30" customHeight="1" x14ac:dyDescent="0.25">
      <c r="B84" s="64" t="s">
        <v>128</v>
      </c>
      <c r="C84" s="65" t="s">
        <v>81</v>
      </c>
      <c r="D84" s="65" t="s">
        <v>77</v>
      </c>
      <c r="E84" s="66">
        <v>1</v>
      </c>
      <c r="F84" s="67">
        <v>46272</v>
      </c>
      <c r="G84" s="67">
        <v>46273</v>
      </c>
      <c r="H84" s="39"/>
      <c r="I84" s="39">
        <f t="shared" si="10"/>
        <v>2</v>
      </c>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32"/>
      <c r="GR84" s="32"/>
      <c r="GS84" s="32"/>
      <c r="GT84" s="32"/>
      <c r="GU84" s="32"/>
      <c r="GV84" s="32"/>
      <c r="GW84" s="32"/>
      <c r="GX84" s="32"/>
      <c r="GY84" s="32"/>
      <c r="GZ84" s="32"/>
      <c r="HA84" s="32"/>
      <c r="HB84" s="32"/>
      <c r="HC84" s="32"/>
      <c r="HD84" s="32"/>
      <c r="HE84" s="32"/>
      <c r="HF84" s="32"/>
      <c r="HG84" s="32"/>
      <c r="HH84" s="32"/>
      <c r="HI84" s="32"/>
      <c r="HJ84" s="32"/>
      <c r="HK84" s="32"/>
      <c r="HL84" s="32"/>
      <c r="HM84" s="32"/>
      <c r="HN84" s="32"/>
      <c r="HO84" s="32"/>
      <c r="HP84" s="32"/>
      <c r="HQ84" s="32"/>
      <c r="HR84" s="32"/>
      <c r="HS84" s="32"/>
      <c r="HT84" s="32"/>
      <c r="HU84" s="32"/>
      <c r="HV84" s="32"/>
      <c r="HW84" s="32"/>
      <c r="HX84" s="32"/>
      <c r="HY84" s="32"/>
      <c r="HZ84" s="32"/>
      <c r="IA84" s="32"/>
      <c r="IB84" s="32"/>
      <c r="IC84" s="32"/>
      <c r="ID84" s="32"/>
      <c r="IE84" s="32"/>
      <c r="IF84" s="32"/>
      <c r="IG84" s="32"/>
      <c r="IH84" s="32"/>
      <c r="II84" s="32"/>
      <c r="IJ84" s="32"/>
      <c r="IK84" s="32"/>
      <c r="IL84" s="32"/>
      <c r="IM84" s="32"/>
      <c r="IN84" s="32"/>
      <c r="IO84" s="32"/>
      <c r="IP84" s="32"/>
      <c r="IQ84" s="32"/>
      <c r="IR84" s="32"/>
      <c r="IS84" s="32"/>
      <c r="IT84" s="32"/>
      <c r="IU84" s="32"/>
      <c r="IV84" s="32"/>
      <c r="IW84" s="32"/>
      <c r="IX84" s="32"/>
      <c r="IY84" s="32"/>
      <c r="IZ84" s="32"/>
      <c r="JA84" s="32"/>
      <c r="JB84" s="32"/>
      <c r="JC84" s="32"/>
      <c r="JD84" s="32"/>
      <c r="JE84" s="32"/>
      <c r="JF84" s="32"/>
      <c r="JG84" s="32"/>
      <c r="JH84" s="32"/>
      <c r="JI84" s="32"/>
      <c r="JJ84" s="32"/>
      <c r="JK84" s="32"/>
      <c r="JL84" s="32"/>
      <c r="JM84" s="32"/>
      <c r="JN84" s="32"/>
      <c r="JO84" s="32"/>
      <c r="JP84" s="32"/>
      <c r="JQ84" s="32"/>
      <c r="JR84" s="32"/>
      <c r="JS84" s="32"/>
      <c r="JT84" s="32"/>
      <c r="JU84" s="32"/>
      <c r="JV84" s="32"/>
      <c r="JW84" s="32"/>
      <c r="JX84" s="32"/>
      <c r="JY84" s="32"/>
      <c r="JZ84" s="32"/>
      <c r="KA84" s="32"/>
      <c r="KB84" s="32"/>
      <c r="KC84" s="32"/>
      <c r="KD84" s="32"/>
      <c r="KE84" s="32"/>
      <c r="KF84" s="32"/>
      <c r="KG84" s="32"/>
      <c r="KH84" s="32"/>
      <c r="KI84" s="32"/>
      <c r="KJ84" s="32"/>
      <c r="KK84" s="32"/>
      <c r="KL84" s="32"/>
      <c r="KM84" s="32"/>
      <c r="KN84" s="32"/>
      <c r="KO84" s="32"/>
      <c r="KP84" s="32"/>
      <c r="KQ84" s="32"/>
      <c r="KR84" s="32"/>
      <c r="KS84" s="32"/>
      <c r="KT84" s="32"/>
      <c r="KU84" s="32"/>
      <c r="KV84" s="32"/>
      <c r="KW84" s="32"/>
      <c r="KX84" s="32"/>
    </row>
    <row r="85" spans="2:310" ht="30" customHeight="1" x14ac:dyDescent="0.25">
      <c r="B85" s="64" t="s">
        <v>129</v>
      </c>
      <c r="C85" s="65" t="s">
        <v>81</v>
      </c>
      <c r="D85" s="65" t="s">
        <v>77</v>
      </c>
      <c r="E85" s="66">
        <v>1</v>
      </c>
      <c r="F85" s="67">
        <v>46274</v>
      </c>
      <c r="G85" s="67">
        <v>46275</v>
      </c>
      <c r="H85" s="39"/>
      <c r="I85" s="39">
        <f t="shared" si="10"/>
        <v>2</v>
      </c>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32"/>
      <c r="GR85" s="32"/>
      <c r="GS85" s="32"/>
      <c r="GT85" s="32"/>
      <c r="GU85" s="32"/>
      <c r="GV85" s="32"/>
      <c r="GW85" s="32"/>
      <c r="GX85" s="32"/>
      <c r="GY85" s="32"/>
      <c r="GZ85" s="32"/>
      <c r="HA85" s="32"/>
      <c r="HB85" s="32"/>
      <c r="HC85" s="32"/>
      <c r="HD85" s="32"/>
      <c r="HE85" s="32"/>
      <c r="HF85" s="32"/>
      <c r="HG85" s="32"/>
      <c r="HH85" s="32"/>
      <c r="HI85" s="32"/>
      <c r="HJ85" s="32"/>
      <c r="HK85" s="32"/>
      <c r="HL85" s="32"/>
      <c r="HM85" s="32"/>
      <c r="HN85" s="32"/>
      <c r="HO85" s="32"/>
      <c r="HP85" s="32"/>
      <c r="HQ85" s="32"/>
      <c r="HR85" s="32"/>
      <c r="HS85" s="32"/>
      <c r="HT85" s="32"/>
      <c r="HU85" s="32"/>
      <c r="HV85" s="32"/>
      <c r="HW85" s="32"/>
      <c r="HX85" s="32"/>
      <c r="HY85" s="32"/>
      <c r="HZ85" s="32"/>
      <c r="IA85" s="32"/>
      <c r="IB85" s="32"/>
      <c r="IC85" s="32"/>
      <c r="ID85" s="32"/>
      <c r="IE85" s="32"/>
      <c r="IF85" s="32"/>
      <c r="IG85" s="32"/>
      <c r="IH85" s="32"/>
      <c r="II85" s="32"/>
      <c r="IJ85" s="32"/>
      <c r="IK85" s="32"/>
      <c r="IL85" s="32"/>
      <c r="IM85" s="32"/>
      <c r="IN85" s="32"/>
      <c r="IO85" s="32"/>
      <c r="IP85" s="32"/>
      <c r="IQ85" s="32"/>
      <c r="IR85" s="32"/>
      <c r="IS85" s="32"/>
      <c r="IT85" s="32"/>
      <c r="IU85" s="32"/>
      <c r="IV85" s="32"/>
      <c r="IW85" s="32"/>
      <c r="IX85" s="32"/>
      <c r="IY85" s="32"/>
      <c r="IZ85" s="32"/>
      <c r="JA85" s="32"/>
      <c r="JB85" s="32"/>
      <c r="JC85" s="32"/>
      <c r="JD85" s="32"/>
      <c r="JE85" s="32"/>
      <c r="JF85" s="32"/>
      <c r="JG85" s="32"/>
      <c r="JH85" s="32"/>
      <c r="JI85" s="32"/>
      <c r="JJ85" s="32"/>
      <c r="JK85" s="32"/>
      <c r="JL85" s="32"/>
      <c r="JM85" s="32"/>
      <c r="JN85" s="32"/>
      <c r="JO85" s="32"/>
      <c r="JP85" s="32"/>
      <c r="JQ85" s="32"/>
      <c r="JR85" s="32"/>
      <c r="JS85" s="32"/>
      <c r="JT85" s="32"/>
      <c r="JU85" s="32"/>
      <c r="JV85" s="32"/>
      <c r="JW85" s="32"/>
      <c r="JX85" s="32"/>
      <c r="JY85" s="32"/>
      <c r="JZ85" s="32"/>
      <c r="KA85" s="32"/>
      <c r="KB85" s="32"/>
      <c r="KC85" s="32"/>
      <c r="KD85" s="32"/>
      <c r="KE85" s="32"/>
      <c r="KF85" s="32"/>
      <c r="KG85" s="32"/>
      <c r="KH85" s="32"/>
      <c r="KI85" s="32"/>
      <c r="KJ85" s="32"/>
      <c r="KK85" s="32"/>
      <c r="KL85" s="32"/>
      <c r="KM85" s="32"/>
      <c r="KN85" s="32"/>
      <c r="KO85" s="32"/>
      <c r="KP85" s="32"/>
      <c r="KQ85" s="32"/>
      <c r="KR85" s="32"/>
      <c r="KS85" s="32"/>
      <c r="KT85" s="32"/>
      <c r="KU85" s="32"/>
      <c r="KV85" s="32"/>
      <c r="KW85" s="32"/>
      <c r="KX85" s="32"/>
    </row>
    <row r="86" spans="2:310" ht="14.25" customHeight="1" x14ac:dyDescent="0.25">
      <c r="B86" s="68" t="s">
        <v>130</v>
      </c>
      <c r="C86" s="69"/>
      <c r="D86" s="70"/>
      <c r="E86" s="71"/>
      <c r="F86" s="72"/>
      <c r="G86" s="73"/>
      <c r="H86" s="39"/>
      <c r="I86" s="39" t="str">
        <f t="shared" si="10"/>
        <v/>
      </c>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32"/>
      <c r="GR86" s="32"/>
      <c r="GS86" s="32"/>
      <c r="GT86" s="32"/>
      <c r="GU86" s="32"/>
      <c r="GV86" s="32"/>
      <c r="GW86" s="32"/>
      <c r="GX86" s="32"/>
      <c r="GY86" s="32"/>
      <c r="GZ86" s="32"/>
      <c r="HA86" s="32"/>
      <c r="HB86" s="32"/>
      <c r="HC86" s="32"/>
      <c r="HD86" s="32"/>
      <c r="HE86" s="32"/>
      <c r="HF86" s="32"/>
      <c r="HG86" s="32"/>
      <c r="HH86" s="32"/>
      <c r="HI86" s="32"/>
      <c r="HJ86" s="32"/>
      <c r="HK86" s="32"/>
      <c r="HL86" s="32"/>
      <c r="HM86" s="32"/>
      <c r="HN86" s="32"/>
      <c r="HO86" s="32"/>
      <c r="HP86" s="32"/>
      <c r="HQ86" s="32"/>
      <c r="HR86" s="32"/>
      <c r="HS86" s="32"/>
      <c r="HT86" s="32"/>
      <c r="HU86" s="32"/>
      <c r="HV86" s="32"/>
      <c r="HW86" s="32"/>
      <c r="HX86" s="32"/>
      <c r="HY86" s="32"/>
      <c r="HZ86" s="32"/>
      <c r="IA86" s="32"/>
      <c r="IB86" s="32"/>
      <c r="IC86" s="32"/>
      <c r="ID86" s="32"/>
      <c r="IE86" s="32"/>
      <c r="IF86" s="32"/>
      <c r="IG86" s="32"/>
      <c r="IH86" s="32"/>
      <c r="II86" s="32"/>
      <c r="IJ86" s="32"/>
      <c r="IK86" s="32"/>
      <c r="IL86" s="32"/>
      <c r="IM86" s="32"/>
      <c r="IN86" s="32"/>
      <c r="IO86" s="32"/>
      <c r="IP86" s="32"/>
      <c r="IQ86" s="32"/>
      <c r="IR86" s="32"/>
      <c r="IS86" s="32"/>
      <c r="IT86" s="32"/>
      <c r="IU86" s="32"/>
      <c r="IV86" s="32"/>
      <c r="IW86" s="32"/>
      <c r="IX86" s="32"/>
      <c r="IY86" s="32"/>
      <c r="IZ86" s="32"/>
      <c r="JA86" s="32"/>
      <c r="JB86" s="32"/>
      <c r="JC86" s="32"/>
      <c r="JD86" s="32"/>
      <c r="JE86" s="32"/>
      <c r="JF86" s="32"/>
      <c r="JG86" s="32"/>
      <c r="JH86" s="32"/>
      <c r="JI86" s="32"/>
      <c r="JJ86" s="32"/>
      <c r="JK86" s="32"/>
      <c r="JL86" s="32"/>
      <c r="JM86" s="32"/>
      <c r="JN86" s="32"/>
      <c r="JO86" s="32"/>
      <c r="JP86" s="32"/>
      <c r="JQ86" s="32"/>
      <c r="JR86" s="32"/>
      <c r="JS86" s="32"/>
      <c r="JT86" s="32"/>
      <c r="JU86" s="32"/>
      <c r="JV86" s="32"/>
      <c r="JW86" s="32"/>
      <c r="JX86" s="32"/>
      <c r="JY86" s="32"/>
      <c r="JZ86" s="32"/>
      <c r="KA86" s="32"/>
      <c r="KB86" s="32"/>
      <c r="KC86" s="32"/>
      <c r="KD86" s="32"/>
      <c r="KE86" s="32"/>
      <c r="KF86" s="32"/>
      <c r="KG86" s="32"/>
      <c r="KH86" s="32"/>
      <c r="KI86" s="32"/>
      <c r="KJ86" s="32"/>
      <c r="KK86" s="32"/>
      <c r="KL86" s="32"/>
      <c r="KM86" s="32"/>
      <c r="KN86" s="32"/>
      <c r="KO86" s="32"/>
      <c r="KP86" s="32"/>
      <c r="KQ86" s="32"/>
      <c r="KR86" s="32"/>
      <c r="KS86" s="32"/>
      <c r="KT86" s="32"/>
      <c r="KU86" s="32"/>
      <c r="KV86" s="32"/>
      <c r="KW86" s="32"/>
      <c r="KX86" s="32"/>
    </row>
    <row r="87" spans="2:310" ht="14.25" customHeight="1" x14ac:dyDescent="0.25">
      <c r="B87" s="74" t="s">
        <v>131</v>
      </c>
      <c r="C87" s="70"/>
      <c r="D87" s="70"/>
      <c r="E87" s="71"/>
      <c r="F87" s="72"/>
      <c r="G87" s="72"/>
      <c r="H87" s="39"/>
      <c r="I87" s="39" t="str">
        <f t="shared" si="10"/>
        <v/>
      </c>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32"/>
      <c r="GR87" s="32"/>
      <c r="GS87" s="32"/>
      <c r="GT87" s="32"/>
      <c r="GU87" s="32"/>
      <c r="GV87" s="32"/>
      <c r="GW87" s="32"/>
      <c r="GX87" s="32"/>
      <c r="GY87" s="32"/>
      <c r="GZ87" s="32"/>
      <c r="HA87" s="32"/>
      <c r="HB87" s="32"/>
      <c r="HC87" s="32"/>
      <c r="HD87" s="32"/>
      <c r="HE87" s="32"/>
      <c r="HF87" s="32"/>
      <c r="HG87" s="32"/>
      <c r="HH87" s="32"/>
      <c r="HI87" s="32"/>
      <c r="HJ87" s="32"/>
      <c r="HK87" s="32"/>
      <c r="HL87" s="32"/>
      <c r="HM87" s="32"/>
      <c r="HN87" s="32"/>
      <c r="HO87" s="32"/>
      <c r="HP87" s="32"/>
      <c r="HQ87" s="32"/>
      <c r="HR87" s="32"/>
      <c r="HS87" s="32"/>
      <c r="HT87" s="32"/>
      <c r="HU87" s="32"/>
      <c r="HV87" s="32"/>
      <c r="HW87" s="32"/>
      <c r="HX87" s="32"/>
      <c r="HY87" s="32"/>
      <c r="HZ87" s="32"/>
      <c r="IA87" s="32"/>
      <c r="IB87" s="32"/>
      <c r="IC87" s="32"/>
      <c r="ID87" s="32"/>
      <c r="IE87" s="32"/>
      <c r="IF87" s="32"/>
      <c r="IG87" s="32"/>
      <c r="IH87" s="32"/>
      <c r="II87" s="32"/>
      <c r="IJ87" s="32"/>
      <c r="IK87" s="32"/>
      <c r="IL87" s="32"/>
      <c r="IM87" s="32"/>
      <c r="IN87" s="32"/>
      <c r="IO87" s="32"/>
      <c r="IP87" s="32"/>
      <c r="IQ87" s="32"/>
      <c r="IR87" s="32"/>
      <c r="IS87" s="32"/>
      <c r="IT87" s="32"/>
      <c r="IU87" s="32"/>
      <c r="IV87" s="32"/>
      <c r="IW87" s="32"/>
      <c r="IX87" s="32"/>
      <c r="IY87" s="32"/>
      <c r="IZ87" s="32"/>
      <c r="JA87" s="32"/>
      <c r="JB87" s="32"/>
      <c r="JC87" s="32"/>
      <c r="JD87" s="32"/>
      <c r="JE87" s="32"/>
      <c r="JF87" s="32"/>
      <c r="JG87" s="32"/>
      <c r="JH87" s="32"/>
      <c r="JI87" s="32"/>
      <c r="JJ87" s="32"/>
      <c r="JK87" s="32"/>
      <c r="JL87" s="32"/>
      <c r="JM87" s="32"/>
      <c r="JN87" s="32"/>
      <c r="JO87" s="32"/>
      <c r="JP87" s="32"/>
      <c r="JQ87" s="32"/>
      <c r="JR87" s="32"/>
      <c r="JS87" s="32"/>
      <c r="JT87" s="32"/>
      <c r="JU87" s="32"/>
      <c r="JV87" s="32"/>
      <c r="JW87" s="32"/>
      <c r="JX87" s="32"/>
      <c r="JY87" s="32"/>
      <c r="JZ87" s="32"/>
      <c r="KA87" s="32"/>
      <c r="KB87" s="32"/>
      <c r="KC87" s="32"/>
      <c r="KD87" s="32"/>
      <c r="KE87" s="32"/>
      <c r="KF87" s="32"/>
      <c r="KG87" s="32"/>
      <c r="KH87" s="32"/>
      <c r="KI87" s="32"/>
      <c r="KJ87" s="32"/>
      <c r="KK87" s="32"/>
      <c r="KL87" s="32"/>
      <c r="KM87" s="32"/>
      <c r="KN87" s="32"/>
      <c r="KO87" s="32"/>
      <c r="KP87" s="32"/>
      <c r="KQ87" s="32"/>
      <c r="KR87" s="32"/>
      <c r="KS87" s="32"/>
      <c r="KT87" s="32"/>
      <c r="KU87" s="32"/>
      <c r="KV87" s="32"/>
      <c r="KW87" s="32"/>
      <c r="KX87" s="32"/>
    </row>
    <row r="88" spans="2:310" ht="14.25" customHeight="1" x14ac:dyDescent="0.25">
      <c r="B88" s="74" t="s">
        <v>132</v>
      </c>
      <c r="C88" s="70"/>
      <c r="D88" s="70"/>
      <c r="E88" s="71"/>
      <c r="F88" s="72"/>
      <c r="G88" s="72"/>
      <c r="H88" s="39"/>
      <c r="I88" s="39" t="str">
        <f t="shared" si="10"/>
        <v/>
      </c>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32"/>
      <c r="GR88" s="32"/>
      <c r="GS88" s="32"/>
      <c r="GT88" s="32"/>
      <c r="GU88" s="32"/>
      <c r="GV88" s="32"/>
      <c r="GW88" s="32"/>
      <c r="GX88" s="32"/>
      <c r="GY88" s="32"/>
      <c r="GZ88" s="32"/>
      <c r="HA88" s="32"/>
      <c r="HB88" s="32"/>
      <c r="HC88" s="32"/>
      <c r="HD88" s="32"/>
      <c r="HE88" s="32"/>
      <c r="HF88" s="32"/>
      <c r="HG88" s="32"/>
      <c r="HH88" s="32"/>
      <c r="HI88" s="32"/>
      <c r="HJ88" s="32"/>
      <c r="HK88" s="32"/>
      <c r="HL88" s="32"/>
      <c r="HM88" s="32"/>
      <c r="HN88" s="32"/>
      <c r="HO88" s="32"/>
      <c r="HP88" s="32"/>
      <c r="HQ88" s="32"/>
      <c r="HR88" s="32"/>
      <c r="HS88" s="32"/>
      <c r="HT88" s="32"/>
      <c r="HU88" s="32"/>
      <c r="HV88" s="32"/>
      <c r="HW88" s="32"/>
      <c r="HX88" s="32"/>
      <c r="HY88" s="32"/>
      <c r="HZ88" s="32"/>
      <c r="IA88" s="32"/>
      <c r="IB88" s="32"/>
      <c r="IC88" s="32"/>
      <c r="ID88" s="32"/>
      <c r="IE88" s="32"/>
      <c r="IF88" s="32"/>
      <c r="IG88" s="32"/>
      <c r="IH88" s="32"/>
      <c r="II88" s="32"/>
      <c r="IJ88" s="32"/>
      <c r="IK88" s="32"/>
      <c r="IL88" s="32"/>
      <c r="IM88" s="32"/>
      <c r="IN88" s="32"/>
      <c r="IO88" s="32"/>
      <c r="IP88" s="32"/>
      <c r="IQ88" s="32"/>
      <c r="IR88" s="32"/>
      <c r="IS88" s="32"/>
      <c r="IT88" s="32"/>
      <c r="IU88" s="32"/>
      <c r="IV88" s="32"/>
      <c r="IW88" s="32"/>
      <c r="IX88" s="32"/>
      <c r="IY88" s="32"/>
      <c r="IZ88" s="32"/>
      <c r="JA88" s="32"/>
      <c r="JB88" s="32"/>
      <c r="JC88" s="32"/>
      <c r="JD88" s="32"/>
      <c r="JE88" s="32"/>
      <c r="JF88" s="32"/>
      <c r="JG88" s="32"/>
      <c r="JH88" s="32"/>
      <c r="JI88" s="32"/>
      <c r="JJ88" s="32"/>
      <c r="JK88" s="32"/>
      <c r="JL88" s="32"/>
      <c r="JM88" s="32"/>
      <c r="JN88" s="32"/>
      <c r="JO88" s="32"/>
      <c r="JP88" s="32"/>
      <c r="JQ88" s="32"/>
      <c r="JR88" s="32"/>
      <c r="JS88" s="32"/>
      <c r="JT88" s="32"/>
      <c r="JU88" s="32"/>
      <c r="JV88" s="32"/>
      <c r="JW88" s="32"/>
      <c r="JX88" s="32"/>
      <c r="JY88" s="32"/>
      <c r="JZ88" s="32"/>
      <c r="KA88" s="32"/>
      <c r="KB88" s="32"/>
      <c r="KC88" s="32"/>
      <c r="KD88" s="32"/>
      <c r="KE88" s="32"/>
      <c r="KF88" s="32"/>
      <c r="KG88" s="32"/>
      <c r="KH88" s="32"/>
      <c r="KI88" s="32"/>
      <c r="KJ88" s="32"/>
      <c r="KK88" s="32"/>
      <c r="KL88" s="32"/>
      <c r="KM88" s="32"/>
      <c r="KN88" s="32"/>
      <c r="KO88" s="32"/>
      <c r="KP88" s="32"/>
      <c r="KQ88" s="32"/>
      <c r="KR88" s="32"/>
      <c r="KS88" s="32"/>
      <c r="KT88" s="32"/>
      <c r="KU88" s="32"/>
      <c r="KV88" s="32"/>
      <c r="KW88" s="32"/>
      <c r="KX88" s="32"/>
    </row>
    <row r="89" spans="2:310" ht="14.25" customHeight="1" x14ac:dyDescent="0.25">
      <c r="B89" s="74" t="s">
        <v>133</v>
      </c>
      <c r="C89" s="70"/>
      <c r="D89" s="70"/>
      <c r="E89" s="71"/>
      <c r="F89" s="72"/>
      <c r="G89" s="72"/>
      <c r="H89" s="39"/>
      <c r="I89" s="39" t="str">
        <f t="shared" si="10"/>
        <v/>
      </c>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32"/>
      <c r="GR89" s="32"/>
      <c r="GS89" s="32"/>
      <c r="GT89" s="32"/>
      <c r="GU89" s="32"/>
      <c r="GV89" s="32"/>
      <c r="GW89" s="32"/>
      <c r="GX89" s="32"/>
      <c r="GY89" s="32"/>
      <c r="GZ89" s="32"/>
      <c r="HA89" s="32"/>
      <c r="HB89" s="32"/>
      <c r="HC89" s="32"/>
      <c r="HD89" s="32"/>
      <c r="HE89" s="32"/>
      <c r="HF89" s="32"/>
      <c r="HG89" s="32"/>
      <c r="HH89" s="32"/>
      <c r="HI89" s="32"/>
      <c r="HJ89" s="32"/>
      <c r="HK89" s="32"/>
      <c r="HL89" s="32"/>
      <c r="HM89" s="32"/>
      <c r="HN89" s="32"/>
      <c r="HO89" s="32"/>
      <c r="HP89" s="32"/>
      <c r="HQ89" s="32"/>
      <c r="HR89" s="32"/>
      <c r="HS89" s="32"/>
      <c r="HT89" s="32"/>
      <c r="HU89" s="32"/>
      <c r="HV89" s="32"/>
      <c r="HW89" s="32"/>
      <c r="HX89" s="32"/>
      <c r="HY89" s="32"/>
      <c r="HZ89" s="32"/>
      <c r="IA89" s="32"/>
      <c r="IB89" s="32"/>
      <c r="IC89" s="32"/>
      <c r="ID89" s="32"/>
      <c r="IE89" s="32"/>
      <c r="IF89" s="32"/>
      <c r="IG89" s="32"/>
      <c r="IH89" s="32"/>
      <c r="II89" s="32"/>
      <c r="IJ89" s="32"/>
      <c r="IK89" s="32"/>
      <c r="IL89" s="32"/>
      <c r="IM89" s="32"/>
      <c r="IN89" s="32"/>
      <c r="IO89" s="32"/>
      <c r="IP89" s="32"/>
      <c r="IQ89" s="32"/>
      <c r="IR89" s="32"/>
      <c r="IS89" s="32"/>
      <c r="IT89" s="32"/>
      <c r="IU89" s="32"/>
      <c r="IV89" s="32"/>
      <c r="IW89" s="32"/>
      <c r="IX89" s="32"/>
      <c r="IY89" s="32"/>
      <c r="IZ89" s="32"/>
      <c r="JA89" s="32"/>
      <c r="JB89" s="32"/>
      <c r="JC89" s="32"/>
      <c r="JD89" s="32"/>
      <c r="JE89" s="32"/>
      <c r="JF89" s="32"/>
      <c r="JG89" s="32"/>
      <c r="JH89" s="32"/>
      <c r="JI89" s="32"/>
      <c r="JJ89" s="32"/>
      <c r="JK89" s="32"/>
      <c r="JL89" s="32"/>
      <c r="JM89" s="32"/>
      <c r="JN89" s="32"/>
      <c r="JO89" s="32"/>
      <c r="JP89" s="32"/>
      <c r="JQ89" s="32"/>
      <c r="JR89" s="32"/>
      <c r="JS89" s="32"/>
      <c r="JT89" s="32"/>
      <c r="JU89" s="32"/>
      <c r="JV89" s="32"/>
      <c r="JW89" s="32"/>
      <c r="JX89" s="32"/>
      <c r="JY89" s="32"/>
      <c r="JZ89" s="32"/>
      <c r="KA89" s="32"/>
      <c r="KB89" s="32"/>
      <c r="KC89" s="32"/>
      <c r="KD89" s="32"/>
      <c r="KE89" s="32"/>
      <c r="KF89" s="32"/>
      <c r="KG89" s="32"/>
      <c r="KH89" s="32"/>
      <c r="KI89" s="32"/>
      <c r="KJ89" s="32"/>
      <c r="KK89" s="32"/>
      <c r="KL89" s="32"/>
      <c r="KM89" s="32"/>
      <c r="KN89" s="32"/>
      <c r="KO89" s="32"/>
      <c r="KP89" s="32"/>
      <c r="KQ89" s="32"/>
      <c r="KR89" s="32"/>
      <c r="KS89" s="32"/>
      <c r="KT89" s="32"/>
      <c r="KU89" s="32"/>
      <c r="KV89" s="32"/>
      <c r="KW89" s="32"/>
      <c r="KX89" s="32"/>
    </row>
    <row r="90" spans="2:310" ht="14.25" customHeight="1" x14ac:dyDescent="0.25">
      <c r="B90" s="74" t="s">
        <v>134</v>
      </c>
      <c r="C90" s="70"/>
      <c r="D90" s="70"/>
      <c r="E90" s="71"/>
      <c r="F90" s="72"/>
      <c r="G90" s="72"/>
      <c r="H90" s="39"/>
      <c r="I90" s="39" t="str">
        <f t="shared" si="10"/>
        <v/>
      </c>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32"/>
      <c r="GR90" s="32"/>
      <c r="GS90" s="32"/>
      <c r="GT90" s="32"/>
      <c r="GU90" s="32"/>
      <c r="GV90" s="32"/>
      <c r="GW90" s="32"/>
      <c r="GX90" s="32"/>
      <c r="GY90" s="32"/>
      <c r="GZ90" s="32"/>
      <c r="HA90" s="32"/>
      <c r="HB90" s="32"/>
      <c r="HC90" s="32"/>
      <c r="HD90" s="32"/>
      <c r="HE90" s="32"/>
      <c r="HF90" s="32"/>
      <c r="HG90" s="32"/>
      <c r="HH90" s="32"/>
      <c r="HI90" s="32"/>
      <c r="HJ90" s="32"/>
      <c r="HK90" s="32"/>
      <c r="HL90" s="32"/>
      <c r="HM90" s="32"/>
      <c r="HN90" s="32"/>
      <c r="HO90" s="32"/>
      <c r="HP90" s="32"/>
      <c r="HQ90" s="32"/>
      <c r="HR90" s="32"/>
      <c r="HS90" s="32"/>
      <c r="HT90" s="32"/>
      <c r="HU90" s="32"/>
      <c r="HV90" s="32"/>
      <c r="HW90" s="32"/>
      <c r="HX90" s="32"/>
      <c r="HY90" s="32"/>
      <c r="HZ90" s="32"/>
      <c r="IA90" s="32"/>
      <c r="IB90" s="32"/>
      <c r="IC90" s="32"/>
      <c r="ID90" s="32"/>
      <c r="IE90" s="32"/>
      <c r="IF90" s="32"/>
      <c r="IG90" s="32"/>
      <c r="IH90" s="32"/>
      <c r="II90" s="32"/>
      <c r="IJ90" s="32"/>
      <c r="IK90" s="32"/>
      <c r="IL90" s="32"/>
      <c r="IM90" s="32"/>
      <c r="IN90" s="32"/>
      <c r="IO90" s="32"/>
      <c r="IP90" s="32"/>
      <c r="IQ90" s="32"/>
      <c r="IR90" s="32"/>
      <c r="IS90" s="32"/>
      <c r="IT90" s="32"/>
      <c r="IU90" s="32"/>
      <c r="IV90" s="32"/>
      <c r="IW90" s="32"/>
      <c r="IX90" s="32"/>
      <c r="IY90" s="32"/>
      <c r="IZ90" s="32"/>
      <c r="JA90" s="32"/>
      <c r="JB90" s="32"/>
      <c r="JC90" s="32"/>
      <c r="JD90" s="32"/>
      <c r="JE90" s="32"/>
      <c r="JF90" s="32"/>
      <c r="JG90" s="32"/>
      <c r="JH90" s="32"/>
      <c r="JI90" s="32"/>
      <c r="JJ90" s="32"/>
      <c r="JK90" s="32"/>
      <c r="JL90" s="32"/>
      <c r="JM90" s="32"/>
      <c r="JN90" s="32"/>
      <c r="JO90" s="32"/>
      <c r="JP90" s="32"/>
      <c r="JQ90" s="32"/>
      <c r="JR90" s="32"/>
      <c r="JS90" s="32"/>
      <c r="JT90" s="32"/>
      <c r="JU90" s="32"/>
      <c r="JV90" s="32"/>
      <c r="JW90" s="32"/>
      <c r="JX90" s="32"/>
      <c r="JY90" s="32"/>
      <c r="JZ90" s="32"/>
      <c r="KA90" s="32"/>
      <c r="KB90" s="32"/>
      <c r="KC90" s="32"/>
      <c r="KD90" s="32"/>
      <c r="KE90" s="32"/>
      <c r="KF90" s="32"/>
      <c r="KG90" s="32"/>
      <c r="KH90" s="32"/>
      <c r="KI90" s="32"/>
      <c r="KJ90" s="32"/>
      <c r="KK90" s="32"/>
      <c r="KL90" s="32"/>
      <c r="KM90" s="32"/>
      <c r="KN90" s="32"/>
      <c r="KO90" s="32"/>
      <c r="KP90" s="32"/>
      <c r="KQ90" s="32"/>
      <c r="KR90" s="32"/>
      <c r="KS90" s="32"/>
      <c r="KT90" s="32"/>
      <c r="KU90" s="32"/>
      <c r="KV90" s="32"/>
      <c r="KW90" s="32"/>
      <c r="KX90" s="32"/>
    </row>
    <row r="91" spans="2:310" ht="14.25" customHeight="1" x14ac:dyDescent="0.25">
      <c r="B91" s="74" t="s">
        <v>135</v>
      </c>
      <c r="C91" s="70"/>
      <c r="D91" s="70"/>
      <c r="E91" s="71"/>
      <c r="F91" s="72"/>
      <c r="G91" s="72"/>
      <c r="H91" s="39"/>
      <c r="I91" s="39" t="str">
        <f t="shared" si="10"/>
        <v/>
      </c>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32"/>
      <c r="GR91" s="32"/>
      <c r="GS91" s="32"/>
      <c r="GT91" s="32"/>
      <c r="GU91" s="32"/>
      <c r="GV91" s="32"/>
      <c r="GW91" s="32"/>
      <c r="GX91" s="32"/>
      <c r="GY91" s="32"/>
      <c r="GZ91" s="32"/>
      <c r="HA91" s="32"/>
      <c r="HB91" s="32"/>
      <c r="HC91" s="32"/>
      <c r="HD91" s="32"/>
      <c r="HE91" s="32"/>
      <c r="HF91" s="32"/>
      <c r="HG91" s="32"/>
      <c r="HH91" s="32"/>
      <c r="HI91" s="32"/>
      <c r="HJ91" s="32"/>
      <c r="HK91" s="32"/>
      <c r="HL91" s="32"/>
      <c r="HM91" s="32"/>
      <c r="HN91" s="32"/>
      <c r="HO91" s="32"/>
      <c r="HP91" s="32"/>
      <c r="HQ91" s="32"/>
      <c r="HR91" s="32"/>
      <c r="HS91" s="32"/>
      <c r="HT91" s="32"/>
      <c r="HU91" s="32"/>
      <c r="HV91" s="32"/>
      <c r="HW91" s="32"/>
      <c r="HX91" s="32"/>
      <c r="HY91" s="32"/>
      <c r="HZ91" s="32"/>
      <c r="IA91" s="32"/>
      <c r="IB91" s="32"/>
      <c r="IC91" s="32"/>
      <c r="ID91" s="32"/>
      <c r="IE91" s="32"/>
      <c r="IF91" s="32"/>
      <c r="IG91" s="32"/>
      <c r="IH91" s="32"/>
      <c r="II91" s="32"/>
      <c r="IJ91" s="32"/>
      <c r="IK91" s="32"/>
      <c r="IL91" s="32"/>
      <c r="IM91" s="32"/>
      <c r="IN91" s="32"/>
      <c r="IO91" s="32"/>
      <c r="IP91" s="32"/>
      <c r="IQ91" s="32"/>
      <c r="IR91" s="32"/>
      <c r="IS91" s="32"/>
      <c r="IT91" s="32"/>
      <c r="IU91" s="32"/>
      <c r="IV91" s="32"/>
      <c r="IW91" s="32"/>
      <c r="IX91" s="32"/>
      <c r="IY91" s="32"/>
      <c r="IZ91" s="32"/>
      <c r="JA91" s="32"/>
      <c r="JB91" s="32"/>
      <c r="JC91" s="32"/>
      <c r="JD91" s="32"/>
      <c r="JE91" s="32"/>
      <c r="JF91" s="32"/>
      <c r="JG91" s="32"/>
      <c r="JH91" s="32"/>
      <c r="JI91" s="32"/>
      <c r="JJ91" s="32"/>
      <c r="JK91" s="32"/>
      <c r="JL91" s="32"/>
      <c r="JM91" s="32"/>
      <c r="JN91" s="32"/>
      <c r="JO91" s="32"/>
      <c r="JP91" s="32"/>
      <c r="JQ91" s="32"/>
      <c r="JR91" s="32"/>
      <c r="JS91" s="32"/>
      <c r="JT91" s="32"/>
      <c r="JU91" s="32"/>
      <c r="JV91" s="32"/>
      <c r="JW91" s="32"/>
      <c r="JX91" s="32"/>
      <c r="JY91" s="32"/>
      <c r="JZ91" s="32"/>
      <c r="KA91" s="32"/>
      <c r="KB91" s="32"/>
      <c r="KC91" s="32"/>
      <c r="KD91" s="32"/>
      <c r="KE91" s="32"/>
      <c r="KF91" s="32"/>
      <c r="KG91" s="32"/>
      <c r="KH91" s="32"/>
      <c r="KI91" s="32"/>
      <c r="KJ91" s="32"/>
      <c r="KK91" s="32"/>
      <c r="KL91" s="32"/>
      <c r="KM91" s="32"/>
      <c r="KN91" s="32"/>
      <c r="KO91" s="32"/>
      <c r="KP91" s="32"/>
      <c r="KQ91" s="32"/>
      <c r="KR91" s="32"/>
      <c r="KS91" s="32"/>
      <c r="KT91" s="32"/>
      <c r="KU91" s="32"/>
      <c r="KV91" s="32"/>
      <c r="KW91" s="32"/>
      <c r="KX91" s="32"/>
    </row>
    <row r="92" spans="2:310" ht="14.25" customHeight="1" x14ac:dyDescent="0.25">
      <c r="B92" s="75"/>
      <c r="C92" s="76"/>
      <c r="D92" s="76"/>
      <c r="E92" s="77"/>
      <c r="F92" s="78"/>
      <c r="G92" s="78"/>
      <c r="H92" s="39"/>
      <c r="I92" s="39" t="str">
        <f t="shared" si="10"/>
        <v/>
      </c>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32"/>
      <c r="GR92" s="32"/>
      <c r="GS92" s="32"/>
      <c r="GT92" s="32"/>
      <c r="GU92" s="32"/>
      <c r="GV92" s="32"/>
      <c r="GW92" s="32"/>
      <c r="GX92" s="32"/>
      <c r="GY92" s="32"/>
      <c r="GZ92" s="32"/>
      <c r="HA92" s="32"/>
      <c r="HB92" s="32"/>
      <c r="HC92" s="32"/>
      <c r="HD92" s="32"/>
      <c r="HE92" s="32"/>
      <c r="HF92" s="32"/>
      <c r="HG92" s="32"/>
      <c r="HH92" s="32"/>
      <c r="HI92" s="32"/>
      <c r="HJ92" s="32"/>
      <c r="HK92" s="32"/>
      <c r="HL92" s="32"/>
      <c r="HM92" s="32"/>
      <c r="HN92" s="32"/>
      <c r="HO92" s="32"/>
      <c r="HP92" s="32"/>
      <c r="HQ92" s="32"/>
      <c r="HR92" s="32"/>
      <c r="HS92" s="32"/>
      <c r="HT92" s="32"/>
      <c r="HU92" s="32"/>
      <c r="HV92" s="32"/>
      <c r="HW92" s="32"/>
      <c r="HX92" s="32"/>
      <c r="HY92" s="32"/>
      <c r="HZ92" s="32"/>
      <c r="IA92" s="32"/>
      <c r="IB92" s="32"/>
      <c r="IC92" s="32"/>
      <c r="ID92" s="32"/>
      <c r="IE92" s="32"/>
      <c r="IF92" s="32"/>
      <c r="IG92" s="32"/>
      <c r="IH92" s="32"/>
      <c r="II92" s="32"/>
      <c r="IJ92" s="32"/>
      <c r="IK92" s="32"/>
      <c r="IL92" s="32"/>
      <c r="IM92" s="32"/>
      <c r="IN92" s="32"/>
      <c r="IO92" s="32"/>
      <c r="IP92" s="32"/>
      <c r="IQ92" s="32"/>
      <c r="IR92" s="32"/>
      <c r="IS92" s="32"/>
      <c r="IT92" s="32"/>
      <c r="IU92" s="32"/>
      <c r="IV92" s="32"/>
      <c r="IW92" s="32"/>
      <c r="IX92" s="32"/>
      <c r="IY92" s="32"/>
      <c r="IZ92" s="32"/>
      <c r="JA92" s="32"/>
      <c r="JB92" s="32"/>
      <c r="JC92" s="32"/>
      <c r="JD92" s="32"/>
      <c r="JE92" s="32"/>
      <c r="JF92" s="32"/>
      <c r="JG92" s="32"/>
      <c r="JH92" s="32"/>
      <c r="JI92" s="32"/>
      <c r="JJ92" s="32"/>
      <c r="JK92" s="32"/>
      <c r="JL92" s="32"/>
      <c r="JM92" s="32"/>
      <c r="JN92" s="32"/>
      <c r="JO92" s="32"/>
      <c r="JP92" s="32"/>
      <c r="JQ92" s="32"/>
      <c r="JR92" s="32"/>
      <c r="JS92" s="32"/>
      <c r="JT92" s="32"/>
      <c r="JU92" s="32"/>
      <c r="JV92" s="32"/>
      <c r="JW92" s="32"/>
      <c r="JX92" s="32"/>
      <c r="JY92" s="32"/>
      <c r="JZ92" s="32"/>
      <c r="KA92" s="32"/>
      <c r="KB92" s="32"/>
      <c r="KC92" s="32"/>
      <c r="KD92" s="32"/>
      <c r="KE92" s="32"/>
      <c r="KF92" s="32"/>
      <c r="KG92" s="32"/>
      <c r="KH92" s="32"/>
      <c r="KI92" s="32"/>
      <c r="KJ92" s="32"/>
      <c r="KK92" s="32"/>
      <c r="KL92" s="32"/>
      <c r="KM92" s="32"/>
      <c r="KN92" s="32"/>
      <c r="KO92" s="32"/>
      <c r="KP92" s="32"/>
      <c r="KQ92" s="32"/>
      <c r="KR92" s="32"/>
      <c r="KS92" s="32"/>
      <c r="KT92" s="32"/>
      <c r="KU92" s="32"/>
      <c r="KV92" s="32"/>
      <c r="KW92" s="32"/>
      <c r="KX92" s="32"/>
    </row>
    <row r="93" spans="2:310" ht="14.25" customHeight="1" x14ac:dyDescent="0.25">
      <c r="B93" s="79"/>
      <c r="C93" s="80"/>
      <c r="D93" s="80"/>
      <c r="E93" s="61"/>
      <c r="F93" s="81"/>
      <c r="G93" s="63"/>
      <c r="H93" s="82"/>
      <c r="I93" s="82" t="str">
        <f t="shared" si="10"/>
        <v/>
      </c>
      <c r="J93" s="83"/>
      <c r="K93" s="83"/>
      <c r="L93" s="83"/>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83"/>
      <c r="EO93" s="83"/>
      <c r="EP93" s="83"/>
      <c r="EQ93" s="83"/>
      <c r="ER93" s="83"/>
      <c r="ES93" s="83"/>
      <c r="ET93" s="83"/>
      <c r="EU93" s="83"/>
      <c r="EV93" s="83"/>
      <c r="EW93" s="83"/>
      <c r="EX93" s="83"/>
      <c r="EY93" s="83"/>
      <c r="EZ93" s="83"/>
      <c r="FA93" s="83"/>
      <c r="FB93" s="83"/>
      <c r="FC93" s="83"/>
      <c r="FD93" s="83"/>
      <c r="FE93" s="83"/>
      <c r="FF93" s="83"/>
      <c r="FG93" s="83"/>
      <c r="FH93" s="83"/>
      <c r="FI93" s="83"/>
      <c r="FJ93" s="83"/>
      <c r="FK93" s="83"/>
      <c r="FL93" s="83"/>
      <c r="FM93" s="83"/>
      <c r="FN93" s="83"/>
      <c r="FO93" s="83"/>
      <c r="FP93" s="83"/>
      <c r="FQ93" s="83"/>
      <c r="FR93" s="83"/>
      <c r="FS93" s="83"/>
      <c r="FT93" s="83"/>
      <c r="FU93" s="83"/>
      <c r="FV93" s="83"/>
      <c r="FW93" s="83"/>
      <c r="FX93" s="83"/>
      <c r="FY93" s="83"/>
      <c r="FZ93" s="83"/>
      <c r="GA93" s="83"/>
      <c r="GB93" s="83"/>
      <c r="GC93" s="83"/>
      <c r="GD93" s="83"/>
      <c r="GE93" s="83"/>
      <c r="GF93" s="83"/>
      <c r="GG93" s="83"/>
      <c r="GH93" s="83"/>
      <c r="GI93" s="83"/>
      <c r="GJ93" s="83"/>
      <c r="GK93" s="83"/>
      <c r="GL93" s="83"/>
      <c r="GM93" s="83"/>
      <c r="GN93" s="83"/>
      <c r="GO93" s="83"/>
      <c r="GP93" s="83"/>
      <c r="GQ93" s="83"/>
      <c r="GR93" s="83"/>
      <c r="GS93" s="83"/>
      <c r="GT93" s="83"/>
      <c r="GU93" s="83"/>
      <c r="GV93" s="83"/>
      <c r="GW93" s="83"/>
      <c r="GX93" s="83"/>
      <c r="GY93" s="83"/>
      <c r="GZ93" s="83"/>
      <c r="HA93" s="83"/>
      <c r="HB93" s="83"/>
      <c r="HC93" s="83"/>
      <c r="HD93" s="83"/>
      <c r="HE93" s="83"/>
      <c r="HF93" s="83"/>
      <c r="HG93" s="83"/>
      <c r="HH93" s="83"/>
      <c r="HI93" s="83"/>
      <c r="HJ93" s="83"/>
      <c r="HK93" s="83"/>
      <c r="HL93" s="83"/>
      <c r="HM93" s="83"/>
      <c r="HN93" s="83"/>
      <c r="HO93" s="83"/>
      <c r="HP93" s="83"/>
      <c r="HQ93" s="83"/>
      <c r="HR93" s="83"/>
      <c r="HS93" s="83"/>
      <c r="HT93" s="83"/>
      <c r="HU93" s="83"/>
      <c r="HV93" s="83"/>
      <c r="HW93" s="83"/>
      <c r="HX93" s="83"/>
      <c r="HY93" s="83"/>
      <c r="HZ93" s="83"/>
      <c r="IA93" s="83"/>
      <c r="IB93" s="83"/>
      <c r="IC93" s="83"/>
      <c r="ID93" s="83"/>
      <c r="IE93" s="83"/>
      <c r="IF93" s="83"/>
      <c r="IG93" s="83"/>
      <c r="IH93" s="83"/>
      <c r="II93" s="83"/>
      <c r="IJ93" s="83"/>
      <c r="IK93" s="83"/>
      <c r="IL93" s="83"/>
      <c r="IM93" s="83"/>
      <c r="IN93" s="83"/>
      <c r="IO93" s="83"/>
      <c r="IP93" s="83"/>
      <c r="IQ93" s="83"/>
      <c r="IR93" s="83"/>
      <c r="IS93" s="83"/>
      <c r="IT93" s="83"/>
      <c r="IU93" s="83"/>
      <c r="IV93" s="83"/>
      <c r="IW93" s="83"/>
      <c r="IX93" s="83"/>
      <c r="IY93" s="83"/>
      <c r="IZ93" s="83"/>
      <c r="JA93" s="83"/>
      <c r="JB93" s="83"/>
      <c r="JC93" s="83"/>
      <c r="JD93" s="83"/>
      <c r="JE93" s="83"/>
      <c r="JF93" s="83"/>
      <c r="JG93" s="83"/>
      <c r="JH93" s="83"/>
      <c r="JI93" s="83"/>
      <c r="JJ93" s="83"/>
      <c r="JK93" s="83"/>
      <c r="JL93" s="83"/>
      <c r="JM93" s="83"/>
      <c r="JN93" s="83"/>
      <c r="JO93" s="83"/>
      <c r="JP93" s="83"/>
      <c r="JQ93" s="83"/>
      <c r="JR93" s="83"/>
      <c r="JS93" s="83"/>
      <c r="JT93" s="83"/>
      <c r="JU93" s="83"/>
      <c r="JV93" s="83"/>
      <c r="JW93" s="83"/>
      <c r="JX93" s="83"/>
      <c r="JY93" s="83"/>
      <c r="JZ93" s="83"/>
      <c r="KA93" s="83"/>
      <c r="KB93" s="83"/>
      <c r="KC93" s="83"/>
      <c r="KD93" s="83"/>
      <c r="KE93" s="83"/>
      <c r="KF93" s="83"/>
      <c r="KG93" s="83"/>
      <c r="KH93" s="83"/>
      <c r="KI93" s="83"/>
      <c r="KJ93" s="83"/>
      <c r="KK93" s="83"/>
      <c r="KL93" s="83"/>
      <c r="KM93" s="83"/>
      <c r="KN93" s="83"/>
      <c r="KO93" s="83"/>
      <c r="KP93" s="83"/>
      <c r="KQ93" s="83"/>
      <c r="KR93" s="83"/>
      <c r="KS93" s="83"/>
      <c r="KT93" s="83"/>
      <c r="KU93" s="83"/>
      <c r="KV93" s="83"/>
      <c r="KW93" s="83"/>
      <c r="KX93" s="83"/>
    </row>
    <row r="94" spans="2:310" ht="14.25" customHeight="1" x14ac:dyDescent="0.25">
      <c r="H94" s="84"/>
    </row>
    <row r="95" spans="2:310" ht="14.25" customHeight="1" x14ac:dyDescent="0.25">
      <c r="D95" s="85"/>
      <c r="G95" s="86"/>
    </row>
    <row r="96" spans="2:310" ht="14.25" customHeight="1" x14ac:dyDescent="0.25">
      <c r="D96" s="87"/>
    </row>
  </sheetData>
  <mergeCells count="17">
    <mergeCell ref="CP4:CV4"/>
    <mergeCell ref="CW4:DC4"/>
    <mergeCell ref="BG4:BM4"/>
    <mergeCell ref="BN4:BT4"/>
    <mergeCell ref="BU4:CA4"/>
    <mergeCell ref="CB4:CH4"/>
    <mergeCell ref="CI4:CO4"/>
    <mergeCell ref="X4:AD4"/>
    <mergeCell ref="AE4:AK4"/>
    <mergeCell ref="AL4:AR4"/>
    <mergeCell ref="AS4:AY4"/>
    <mergeCell ref="AZ4:BF4"/>
    <mergeCell ref="D3:E3"/>
    <mergeCell ref="F3:G3"/>
    <mergeCell ref="D4:E4"/>
    <mergeCell ref="J4:P4"/>
    <mergeCell ref="Q4:W4"/>
  </mergeCells>
  <conditionalFormatting sqref="E7:E93">
    <cfRule type="dataBar" priority="2">
      <dataBar>
        <cfvo type="num" val="0"/>
        <cfvo type="num" val="1"/>
        <color rgb="FFBFBFBF"/>
      </dataBar>
      <extLst>
        <ext xmlns:x14="http://schemas.microsoft.com/office/spreadsheetml/2009/9/main" uri="{B025F937-C7B1-47D3-B67F-A62EFF666E3E}">
          <x14:id>{696E4EC0-66E5-4476-9B70-F7F89FFAC469}</x14:id>
        </ext>
      </extLst>
    </cfRule>
  </conditionalFormatting>
  <conditionalFormatting sqref="J5:KX93">
    <cfRule type="expression" dxfId="2" priority="5">
      <formula>AND(TODAY()&gt;=J$5,TODAY()&lt;K$5)</formula>
    </cfRule>
  </conditionalFormatting>
  <conditionalFormatting sqref="J7:KX93">
    <cfRule type="expression" dxfId="1" priority="3">
      <formula>AND(task_start&lt;=J$5,ROUNDDOWN((task_end-task_start+1)*task_progress,0)+task_start-1&gt;=J$5)</formula>
    </cfRule>
    <cfRule type="expression" dxfId="0" priority="4">
      <formula>AND(task_end&gt;=J$5,task_start&lt;K$5)</formula>
    </cfRule>
  </conditionalFormatting>
  <dataValidations count="1">
    <dataValidation type="whole" operator="greaterThanOrEqual" allowBlank="1" showInputMessage="1" promptTitle="Mostrar semana" prompt="Al cambiar este número, se desplazará la vista del diagrama de Gantt." sqref="F4" xr:uid="{00000000-0002-0000-0000-000000000000}">
      <formula1>1</formula1>
      <formula2>0</formula2>
    </dataValidation>
  </dataValidations>
  <printOptions horizontalCentered="1"/>
  <pageMargins left="0.35" right="0.35" top="0.35" bottom="0.34722222222222199" header="0.511811023622047" footer="0.511811023622047"/>
  <pageSetup paperSize="9"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696E4EC0-66E5-4476-9B70-F7F89FFAC469}">
            <x14:dataBar axisPosition="none">
              <x14:cfvo type="num">
                <xm:f>0</xm:f>
              </x14:cfvo>
              <x14:cfvo type="num">
                <xm:f>1</xm:f>
              </x14:cfvo>
              <x14:negativeFillColor rgb="FFBFBFBF"/>
            </x14:dataBar>
          </x14:cfRule>
          <xm:sqref>E7:E93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ProjectSchedule</vt:lpstr>
      <vt:lpstr>Inicio_del_proyecto</vt:lpstr>
      <vt:lpstr>Semana_para_mostrar</vt:lpstr>
      <vt:lpstr>ProjectSchedule!task_end</vt:lpstr>
      <vt:lpstr>ProjectSchedule!task_progress</vt:lpstr>
      <vt:lpstr>ProjectSchedule!task_start</vt:lpstr>
      <vt:lpstr>ProjectSchedule!Títulos_a_imprimir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Pauu</dc:creator>
  <dc:description/>
  <cp:lastModifiedBy>URRUTIA MOYA PAULINA A</cp:lastModifiedBy>
  <cp:revision>0</cp:revision>
  <dcterms:created xsi:type="dcterms:W3CDTF">2021-12-14T20:18:50Z</dcterms:created>
  <dcterms:modified xsi:type="dcterms:W3CDTF">2026-09-12T18:59:03Z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0x0101009D5DA37301643443BC73501F1304164A</vt:lpwstr>
  </property>
</Properties>
</file>