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Pauu\REPOSITORIO Ingenieria de software\Ingeniería de Software - Ingecon - Documentos\"/>
    </mc:Choice>
  </mc:AlternateContent>
  <xr:revisionPtr revIDLastSave="0" documentId="8_{961F7B32-AFE2-48AF-B294-56F812FD13E9}" xr6:coauthVersionLast="47" xr6:coauthVersionMax="47" xr10:uidLastSave="{00000000-0000-0000-0000-000000000000}"/>
  <bookViews>
    <workbookView xWindow="-120" yWindow="-120" windowWidth="29040" windowHeight="15720" xr2:uid="{00000000-000D-0000-FFFF-FFFF00000000}"/>
  </bookViews>
  <sheets>
    <sheet name="ProjectSchedule" sheetId="1" r:id="rId1"/>
  </sheets>
  <definedNames>
    <definedName name="hoy" localSheetId="0">TODAY()</definedName>
    <definedName name="Inicio_del_proyecto">ProjectSchedule!$F$3</definedName>
    <definedName name="Semana_para_mostrar">ProjectSchedule!$F$4</definedName>
    <definedName name="task_end" localSheetId="0">ProjectSchedule!$G1</definedName>
    <definedName name="task_progress" localSheetId="0">ProjectSchedule!$E1</definedName>
    <definedName name="task_start" localSheetId="0">ProjectSchedule!$F1</definedName>
    <definedName name="_xlnm.Print_Titles" localSheetId="0">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3" i="1" l="1"/>
  <c r="I72" i="1"/>
  <c r="I71" i="1"/>
  <c r="I70" i="1"/>
  <c r="I69" i="1"/>
  <c r="I68" i="1"/>
  <c r="I67" i="1"/>
  <c r="I66" i="1"/>
  <c r="I65" i="1"/>
  <c r="I64" i="1"/>
  <c r="I63" i="1"/>
  <c r="I62" i="1"/>
  <c r="I61" i="1"/>
  <c r="I60" i="1"/>
  <c r="I59" i="1"/>
  <c r="I46" i="1"/>
  <c r="I43" i="1"/>
  <c r="I42" i="1"/>
  <c r="I41" i="1"/>
  <c r="I40" i="1"/>
  <c r="I24" i="1"/>
  <c r="I9" i="1"/>
  <c r="I8" i="1"/>
  <c r="I7" i="1"/>
  <c r="J5" i="1"/>
  <c r="J4" i="1" s="1"/>
  <c r="J6" i="1" l="1"/>
  <c r="K5" i="1"/>
  <c r="K6" i="1" l="1"/>
  <c r="L5" i="1"/>
  <c r="L6" i="1" l="1"/>
  <c r="M5" i="1"/>
  <c r="M6" i="1" l="1"/>
  <c r="N5" i="1"/>
  <c r="N6" i="1" l="1"/>
  <c r="O5" i="1"/>
  <c r="O6" i="1" l="1"/>
  <c r="P5" i="1"/>
  <c r="P6" i="1" l="1"/>
  <c r="Q5" i="1"/>
  <c r="Q6" i="1" l="1"/>
  <c r="R5" i="1"/>
  <c r="Q4" i="1"/>
  <c r="R6" i="1" l="1"/>
  <c r="S5" i="1"/>
  <c r="S6" i="1" l="1"/>
  <c r="T5" i="1"/>
  <c r="T6" i="1" l="1"/>
  <c r="U5" i="1"/>
  <c r="U6" i="1" l="1"/>
  <c r="V5" i="1"/>
  <c r="V6" i="1" l="1"/>
  <c r="W5" i="1"/>
  <c r="W6" i="1" l="1"/>
  <c r="X5" i="1"/>
  <c r="X6" i="1" l="1"/>
  <c r="Y5" i="1"/>
  <c r="X4" i="1"/>
  <c r="Y6" i="1" l="1"/>
  <c r="Z5" i="1"/>
  <c r="Z6" i="1" l="1"/>
  <c r="AA5" i="1"/>
  <c r="AA6" i="1" l="1"/>
  <c r="AB5" i="1"/>
  <c r="AB6" i="1" l="1"/>
  <c r="AC5" i="1"/>
  <c r="AC6" i="1" l="1"/>
  <c r="AD5" i="1"/>
  <c r="AD6" i="1" l="1"/>
  <c r="AE5" i="1"/>
  <c r="AE6" i="1" l="1"/>
  <c r="AF5" i="1"/>
  <c r="AE4" i="1"/>
  <c r="AF6" i="1" l="1"/>
  <c r="AG5" i="1"/>
  <c r="AG6" i="1" l="1"/>
  <c r="AH5" i="1"/>
  <c r="AH6" i="1" l="1"/>
  <c r="AI5" i="1"/>
  <c r="AI6" i="1" l="1"/>
  <c r="AJ5" i="1"/>
  <c r="AJ6" i="1" l="1"/>
  <c r="AK5" i="1"/>
  <c r="AK6" i="1" l="1"/>
  <c r="AL5" i="1"/>
  <c r="AL6" i="1" l="1"/>
  <c r="AM5" i="1"/>
  <c r="AL4" i="1"/>
  <c r="AM6" i="1" l="1"/>
  <c r="AN5" i="1"/>
  <c r="AN6" i="1" l="1"/>
  <c r="AO5" i="1"/>
  <c r="AO6" i="1" l="1"/>
  <c r="AP5" i="1"/>
  <c r="AP6" i="1" l="1"/>
  <c r="AQ5" i="1"/>
  <c r="AQ6" i="1" l="1"/>
  <c r="AR5" i="1"/>
  <c r="AR6" i="1" l="1"/>
  <c r="AS5" i="1"/>
  <c r="AS6" i="1" l="1"/>
  <c r="AT5" i="1"/>
  <c r="AS4" i="1"/>
  <c r="AT6" i="1" l="1"/>
  <c r="AU5" i="1"/>
  <c r="AU6" i="1" l="1"/>
  <c r="AV5" i="1"/>
  <c r="AV6" i="1" l="1"/>
  <c r="AW5" i="1"/>
  <c r="AW6" i="1" l="1"/>
  <c r="AX5" i="1"/>
  <c r="AX6" i="1" l="1"/>
  <c r="AY5" i="1"/>
  <c r="AY6" i="1" l="1"/>
  <c r="AZ5" i="1"/>
  <c r="AZ6" i="1" l="1"/>
  <c r="BA5" i="1"/>
  <c r="AZ4" i="1"/>
  <c r="BA6" i="1" l="1"/>
  <c r="BB5" i="1"/>
  <c r="BB6" i="1" l="1"/>
  <c r="BC5" i="1"/>
  <c r="BC6" i="1" l="1"/>
  <c r="BD5" i="1"/>
  <c r="BD6" i="1" l="1"/>
  <c r="BE5" i="1"/>
  <c r="BE6" i="1" l="1"/>
  <c r="BF5" i="1"/>
  <c r="BF6" i="1" l="1"/>
  <c r="BG5" i="1"/>
  <c r="BG6" i="1" l="1"/>
  <c r="BH5" i="1"/>
  <c r="BG4" i="1"/>
  <c r="BH6" i="1" l="1"/>
  <c r="BI5" i="1"/>
  <c r="BI6" i="1" l="1"/>
  <c r="BJ5" i="1"/>
  <c r="BJ6" i="1" l="1"/>
  <c r="BK5" i="1"/>
  <c r="BK6" i="1" l="1"/>
  <c r="BL5" i="1"/>
  <c r="BL6" i="1" l="1"/>
  <c r="BM5" i="1"/>
  <c r="BM6" i="1" l="1"/>
  <c r="BN5" i="1"/>
  <c r="BN6" i="1" l="1"/>
  <c r="BN4" i="1"/>
  <c r="BO5" i="1"/>
  <c r="BO6" i="1" l="1"/>
  <c r="BP5" i="1"/>
  <c r="BQ5" i="1" l="1"/>
  <c r="BP6" i="1"/>
  <c r="BR5" i="1" l="1"/>
  <c r="BQ6" i="1"/>
  <c r="BS5" i="1" l="1"/>
  <c r="BR6" i="1"/>
  <c r="BS6" i="1" l="1"/>
  <c r="BT5" i="1"/>
  <c r="BT6" i="1" l="1"/>
  <c r="BU5" i="1"/>
  <c r="BU4" i="1" l="1"/>
  <c r="BU6" i="1"/>
  <c r="BV5" i="1"/>
  <c r="BV6" i="1" l="1"/>
  <c r="BW5" i="1"/>
  <c r="BX5" i="1" l="1"/>
  <c r="BW6" i="1"/>
  <c r="BX6" i="1" l="1"/>
  <c r="BY5" i="1"/>
  <c r="BY6" i="1" l="1"/>
  <c r="BZ5" i="1"/>
  <c r="CA5" i="1" l="1"/>
  <c r="BZ6" i="1"/>
  <c r="CA6" i="1" l="1"/>
  <c r="CB5" i="1"/>
  <c r="CB6" i="1" l="1"/>
  <c r="CB4" i="1"/>
  <c r="CC5" i="1"/>
  <c r="CC6" i="1" l="1"/>
  <c r="CD5" i="1"/>
  <c r="CD6" i="1" l="1"/>
  <c r="CE5" i="1"/>
  <c r="CF5" i="1" l="1"/>
  <c r="CE6" i="1"/>
  <c r="CG5" i="1" l="1"/>
  <c r="CF6" i="1"/>
  <c r="CH5" i="1" l="1"/>
  <c r="CG6" i="1"/>
  <c r="CH6" i="1" l="1"/>
  <c r="CI5" i="1"/>
  <c r="CI4" i="1" l="1"/>
  <c r="CJ5" i="1"/>
  <c r="CI6" i="1"/>
  <c r="CJ6" i="1" l="1"/>
  <c r="CK5" i="1"/>
  <c r="CL5" i="1" l="1"/>
  <c r="CK6" i="1"/>
  <c r="CM5" i="1" l="1"/>
  <c r="CL6" i="1"/>
  <c r="CN5" i="1" l="1"/>
  <c r="CM6" i="1"/>
  <c r="CO5" i="1" l="1"/>
  <c r="CN6" i="1"/>
  <c r="CO6" i="1" l="1"/>
  <c r="CP5" i="1"/>
  <c r="CP6" i="1" l="1"/>
  <c r="CP4" i="1"/>
  <c r="CQ5" i="1"/>
  <c r="CQ6" i="1" l="1"/>
  <c r="CR5" i="1"/>
  <c r="CS5" i="1" l="1"/>
  <c r="CR6" i="1"/>
  <c r="CT5" i="1" l="1"/>
  <c r="CS6" i="1"/>
  <c r="CU5" i="1" l="1"/>
  <c r="CT6" i="1"/>
  <c r="CV5" i="1" l="1"/>
  <c r="CV6" i="1" s="1"/>
  <c r="CU6" i="1"/>
</calcChain>
</file>

<file path=xl/sharedStrings.xml><?xml version="1.0" encoding="utf-8"?>
<sst xmlns="http://schemas.openxmlformats.org/spreadsheetml/2006/main" count="165" uniqueCount="117">
  <si>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</si>
  <si>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Proyecto Implementación de Plataforma Web Ingecon</t>
  </si>
  <si>
    <t>Escriba el nombre de la compañía en la celda B2.</t>
  </si>
  <si>
    <t>Ingecon</t>
  </si>
  <si>
    <t>Escriba el nombre del responsable del proyecto en la celda B3. Escriba la fecha de comienzo del proyecto en la celda E3. Inicio del proyecto: la etiqueta se encuentra en la celda C3.</t>
  </si>
  <si>
    <t>Grupo: Diego C., Tomás H., Vicente O., Benjamin P., Diego S., Paulina U.</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</si>
  <si>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</si>
  <si>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</si>
  <si>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</si>
  <si>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</si>
  <si>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</si>
  <si>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</si>
  <si>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Proceso</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</si>
  <si>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</si>
  <si>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</si>
  <si>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</si>
  <si>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</si>
  <si>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</si>
  <si>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</si>
  <si>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</si>
  <si>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Desarrollo Documento 0</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</si>
  <si>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</si>
  <si>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Iniciación</t>
  </si>
  <si>
    <t>Solicitud formal de la iniciativa por parte del grupo de trabajo</t>
  </si>
  <si>
    <t>Vicente Ortega Nobizelli</t>
  </si>
  <si>
    <t>Inciciación</t>
  </si>
  <si>
    <t>Crear la visión del proyecto</t>
  </si>
  <si>
    <t>Todos</t>
  </si>
  <si>
    <t>Identificación de roles dentro del equipo</t>
  </si>
  <si>
    <t>Planificación y Estimación</t>
  </si>
  <si>
    <t>Construir product backlog</t>
  </si>
  <si>
    <t>Introdu</t>
  </si>
  <si>
    <t>Introducción</t>
  </si>
  <si>
    <t>Tomás Hurtado Silva</t>
  </si>
  <si>
    <t>Contexto</t>
  </si>
  <si>
    <t>Problema</t>
  </si>
  <si>
    <t>Benjamin Parraguez Aguirre</t>
  </si>
  <si>
    <t xml:space="preserve">Objetivo General </t>
  </si>
  <si>
    <t>Paulina Urrutia Moya</t>
  </si>
  <si>
    <t>Objetivos Específicos</t>
  </si>
  <si>
    <t>Organigramas</t>
  </si>
  <si>
    <t>Preparar la Entrevista del Usuario</t>
  </si>
  <si>
    <t>PEST o PESTEL</t>
  </si>
  <si>
    <t>Primera Entrevista Usuario</t>
  </si>
  <si>
    <t>Vicente Ortega Nobizelli, Tomás Hurtado Silva, Benjamin Parraguez Aguirre.</t>
  </si>
  <si>
    <t>Foda</t>
  </si>
  <si>
    <t>Cadena de valor</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</si>
  <si>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</si>
  <si>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Implementación</t>
  </si>
  <si>
    <t>Sprint Planning</t>
  </si>
  <si>
    <t>Ishikawa</t>
  </si>
  <si>
    <t>Diego Carabajal Belmar</t>
  </si>
  <si>
    <t>Levantamiento de Procesos (Bizagi)</t>
  </si>
  <si>
    <t>Diego Sepúlveda Solar, Vicente Ortega Nobizelli</t>
  </si>
  <si>
    <t>Porter</t>
  </si>
  <si>
    <t>Histograma</t>
  </si>
  <si>
    <t>Levantar Requerimientos de Usuario</t>
  </si>
  <si>
    <t>Paulina Urrutia Moya, Tomás Hurtado Silva</t>
  </si>
  <si>
    <t>Envío de correo de aceptación de requisitos</t>
  </si>
  <si>
    <t>Pasar Requerimientos Funcionales a UR (estándar ESA)</t>
  </si>
  <si>
    <t>Tomás Hurtado Silva, Paulina Urrutia Moya</t>
  </si>
  <si>
    <t>Diagrama de casos de uso</t>
  </si>
  <si>
    <t>Casos de uso Extendido</t>
  </si>
  <si>
    <t>Estimación de costos y beneficios</t>
  </si>
  <si>
    <t>Matriz de requerimientos v/s casos de uso</t>
  </si>
  <si>
    <t>Revisión del Documento 0</t>
  </si>
  <si>
    <t>Diego Sepúlveda Solar, Vicente Ortega Nobizelli, Diego Carabajal Belmar</t>
  </si>
  <si>
    <t>Correciónes Documento 0</t>
  </si>
  <si>
    <t>Entregar el Documento 0</t>
  </si>
  <si>
    <t xml:space="preserve">Preparación Presentación </t>
  </si>
  <si>
    <t>-----</t>
  </si>
  <si>
    <t>Hacer la Presentación del Documento 0</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</si>
  <si>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</si>
  <si>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Incremento 1</t>
  </si>
  <si>
    <t>Tarea 1</t>
  </si>
  <si>
    <t>Tarea 2</t>
  </si>
  <si>
    <t>Tarea 3</t>
  </si>
  <si>
    <t>Tarea 4</t>
  </si>
  <si>
    <t>Tarea 5</t>
  </si>
  <si>
    <t>Bloque de título fase de ejemplo</t>
  </si>
  <si>
    <t>Incremento 2</t>
  </si>
  <si>
    <t>Incremento 3</t>
  </si>
  <si>
    <t>Esta es una fila vacía.</t>
  </si>
  <si>
    <t>Esta fila indica el final de la programación del proyecto. NO escriba nada en esta fila. 
Inserte nuevas filas encima de ésta para continuar creando la programación del proyecto.</t>
  </si>
  <si>
    <t>MERE</t>
  </si>
  <si>
    <t>Paulina</t>
  </si>
  <si>
    <t>Diagrama de Clases</t>
  </si>
  <si>
    <t>Modelo Relacional</t>
  </si>
  <si>
    <t>D de Despliegue</t>
  </si>
  <si>
    <t>Tomás</t>
  </si>
  <si>
    <t>D de Secuencia</t>
  </si>
  <si>
    <t>Diego Sepúlveda</t>
  </si>
  <si>
    <t>Vicente</t>
  </si>
  <si>
    <t>D de Componentes</t>
  </si>
  <si>
    <t>Benjamín</t>
  </si>
  <si>
    <t>Dimensión Técnica</t>
  </si>
  <si>
    <t>Base de Datos</t>
  </si>
  <si>
    <t>Informe</t>
  </si>
  <si>
    <t>Vistas 4 + 1</t>
  </si>
  <si>
    <t>Corrección diagramas</t>
  </si>
  <si>
    <t>Bizagi</t>
  </si>
  <si>
    <t>Corrección formato</t>
  </si>
  <si>
    <t>Planificación</t>
  </si>
  <si>
    <t>Carta Gantt</t>
  </si>
  <si>
    <t>Programación</t>
  </si>
  <si>
    <t>Desarrollo Web</t>
  </si>
  <si>
    <t>Diego Carabajal</t>
  </si>
  <si>
    <t>Creación de tablas y Datos</t>
  </si>
  <si>
    <t>Avances</t>
  </si>
  <si>
    <t>Vista Lógica</t>
  </si>
  <si>
    <t>Benjamín y Diego Carabajal</t>
  </si>
  <si>
    <t>Tomás y Diego Sepúlveda</t>
  </si>
  <si>
    <t>Paulina Urrutia</t>
  </si>
  <si>
    <t>Evidencia</t>
  </si>
  <si>
    <t>Video demostrativo de la Web</t>
  </si>
  <si>
    <t>Benjamín y Tomás</t>
  </si>
  <si>
    <t xml:space="preserve">Vistas 4 + 1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</si>
</sst>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yy;@"/>
    <numFmt numFmtId="165" formatCode="d"/>
    <numFmt numFmtId="166" formatCode="d\ &quot;de&quot;\ mmmm\ &quot;de&quot;\ yyyy"/>
    <numFmt numFmtId="167" formatCode="ddd\,\ yyyy\-mm\-dd;@"/>
  </numFmts>
  <fonts count="1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b/>
      <sz val="11"/>
      <color rgb="FFFFFFFF"/>
      <name val="Calibri"/>
    </font>
    <font>
      <b/>
      <sz val="14"/>
      <color rgb="FF003366"/>
      <name val="Calibri"/>
    </font>
  </fonts>
  <fills count="1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12">
    <border>
      <left/>
      <right/>
      <top/>
      <bottom/>
      <diagonal/>
    </border>
    <border>
      <left/>
      <right/>
      <top style="thin">
        <color theme="0" tint="-0.34998626667073579"/>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3743705557422"/>
      </bottom>
      <diagonal/>
    </border>
    <border>
      <left style="thin">
        <color theme="0" tint="-0.14990691854609822"/>
      </left>
      <right style="thin">
        <color theme="0" tint="-0.14990691854609822"/>
      </right>
      <top style="medium">
        <color theme="0" tint="-0.14993743705557422"/>
      </top>
      <bottom style="medium">
        <color theme="0" tint="-0.14993743705557422"/>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s>
  <cellStyleXfs count="12">
    <xf numFmtId="0" fontId="0" fillId="0" borderId="0"/>
    <xf numFmtId="0" fontId="3" fillId="0" borderId="0">
      <alignment vertical="top"/>
      <protection locked="0"/>
    </xf>
    <xf numFmtId="9" fontId="8" fillId="0" borderId="0"/>
    <xf numFmtId="0" fontId="14" fillId="0" borderId="0"/>
    <xf numFmtId="0" fontId="11" fillId="0" borderId="0"/>
    <xf numFmtId="0" fontId="9" fillId="0" borderId="0"/>
    <xf numFmtId="0" fontId="9" fillId="0" borderId="0">
      <alignment vertical="top"/>
    </xf>
    <xf numFmtId="0" fontId="8" fillId="0" borderId="0">
      <alignment horizontal="right" indent="1"/>
    </xf>
    <xf numFmtId="167" fontId="8" fillId="0" borderId="3">
      <alignment horizontal="center" vertical="center"/>
    </xf>
    <xf numFmtId="164" fontId="8" fillId="0" borderId="2">
      <alignment horizontal="center" vertical="center"/>
    </xf>
    <xf numFmtId="0" fontId="8" fillId="0" borderId="2">
      <alignment horizontal="center" vertical="center"/>
    </xf>
    <xf numFmtId="0" fontId="8" fillId="0" borderId="2">
      <alignment horizontal="left" vertical="center" indent="2"/>
    </xf>
  </cellStyleXfs>
  <cellXfs count="9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12" fillId="0" borderId="0" xfId="0" applyFont="1"/>
    <xf numFmtId="0" fontId="13"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4" borderId="2" xfId="0" applyFont="1" applyFill="1" applyBorder="1" applyAlignment="1">
      <alignment horizontal="left" vertical="center" indent="1"/>
    </xf>
    <xf numFmtId="9" fontId="5" fillId="4" borderId="2" xfId="2" applyFont="1" applyFill="1" applyBorder="1" applyAlignment="1">
      <alignment horizontal="center" vertical="center"/>
    </xf>
    <xf numFmtId="0" fontId="7" fillId="2" borderId="2" xfId="0" applyFont="1" applyFill="1" applyBorder="1" applyAlignment="1">
      <alignment horizontal="left" vertical="center" indent="1"/>
    </xf>
    <xf numFmtId="0" fontId="7"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8" xfId="0" applyBorder="1" applyAlignment="1">
      <alignment vertical="center"/>
    </xf>
    <xf numFmtId="0" fontId="0" fillId="2" borderId="8" xfId="0" applyFill="1" applyBorder="1" applyAlignment="1">
      <alignment vertical="center"/>
    </xf>
    <xf numFmtId="0" fontId="2" fillId="0" borderId="0" xfId="0" applyFont="1" applyAlignment="1">
      <alignment horizontal="center" vertical="center"/>
    </xf>
    <xf numFmtId="0" fontId="14" fillId="0" borderId="0" xfId="3"/>
    <xf numFmtId="0" fontId="14" fillId="0" borderId="0" xfId="3" applyAlignment="1">
      <alignment wrapText="1"/>
    </xf>
    <xf numFmtId="0" fontId="14" fillId="0" borderId="0" xfId="0" applyFont="1" applyAlignment="1">
      <alignment horizontal="center"/>
    </xf>
    <xf numFmtId="0" fontId="0" fillId="0" borderId="0" xfId="0" applyAlignment="1">
      <alignment wrapText="1"/>
    </xf>
    <xf numFmtId="0" fontId="8" fillId="6" borderId="2" xfId="10" applyFill="1">
      <alignment horizontal="center" vertical="center"/>
    </xf>
    <xf numFmtId="0" fontId="8" fillId="3" borderId="2" xfId="10" applyFill="1">
      <alignment horizontal="center" vertical="center"/>
    </xf>
    <xf numFmtId="0" fontId="8" fillId="4" borderId="2" xfId="10" applyFill="1">
      <alignment horizontal="center" vertical="center"/>
    </xf>
    <xf numFmtId="0" fontId="8" fillId="0" borderId="2" xfId="10">
      <alignment horizontal="center" vertical="center"/>
    </xf>
    <xf numFmtId="0" fontId="8" fillId="3" borderId="2" xfId="11" applyFill="1">
      <alignment horizontal="left" vertical="center" indent="2"/>
    </xf>
    <xf numFmtId="0" fontId="8" fillId="0" borderId="2" xfId="11">
      <alignment horizontal="left" vertical="center" indent="2"/>
    </xf>
    <xf numFmtId="0" fontId="0" fillId="0" borderId="9" xfId="0" applyBorder="1"/>
    <xf numFmtId="0" fontId="15" fillId="0" borderId="0" xfId="0" applyFont="1"/>
    <xf numFmtId="0" fontId="16" fillId="0" borderId="0" xfId="1" applyFont="1" applyProtection="1">
      <alignment vertical="top"/>
    </xf>
    <xf numFmtId="0" fontId="0" fillId="0" borderId="8" xfId="0" applyBorder="1" applyAlignment="1">
      <alignment horizontal="right" vertical="center"/>
    </xf>
    <xf numFmtId="0" fontId="0" fillId="7" borderId="8" xfId="0" applyFill="1" applyBorder="1" applyAlignment="1">
      <alignment vertical="center"/>
    </xf>
    <xf numFmtId="0" fontId="8" fillId="3" borderId="2" xfId="10" applyFill="1" applyAlignment="1">
      <alignment horizontal="center" vertical="center" wrapText="1"/>
    </xf>
    <xf numFmtId="0" fontId="8" fillId="3" borderId="2" xfId="11" applyFill="1" applyAlignment="1">
      <alignment horizontal="center" vertical="center" wrapText="1"/>
    </xf>
    <xf numFmtId="0" fontId="11" fillId="0" borderId="0" xfId="4" applyAlignment="1">
      <alignment horizontal="center"/>
    </xf>
    <xf numFmtId="0" fontId="9" fillId="0" borderId="0" xfId="5" applyAlignment="1">
      <alignment horizontal="center"/>
    </xf>
    <xf numFmtId="0" fontId="9" fillId="0" borderId="0" xfId="6" applyAlignment="1">
      <alignment horizontal="center" vertical="top"/>
    </xf>
    <xf numFmtId="0" fontId="0" fillId="0" borderId="9" xfId="0" applyBorder="1" applyAlignment="1">
      <alignment horizontal="center"/>
    </xf>
    <xf numFmtId="0" fontId="6" fillId="6" borderId="2" xfId="0" applyFont="1" applyFill="1" applyBorder="1" applyAlignment="1">
      <alignment horizontal="center" vertical="center"/>
    </xf>
    <xf numFmtId="0" fontId="8" fillId="3" borderId="2" xfId="11" applyFill="1" applyAlignment="1">
      <alignment horizontal="center" vertical="center"/>
    </xf>
    <xf numFmtId="0" fontId="6" fillId="4" borderId="2" xfId="0" applyFont="1" applyFill="1" applyBorder="1" applyAlignment="1">
      <alignment horizontal="center" vertical="center"/>
    </xf>
    <xf numFmtId="0" fontId="8" fillId="0" borderId="2" xfId="11" applyAlignment="1">
      <alignment horizontal="center" vertical="center"/>
    </xf>
    <xf numFmtId="0" fontId="18" fillId="0" borderId="0" xfId="4" applyFont="1" applyAlignment="1">
      <alignment horizontal="left"/>
    </xf>
    <xf numFmtId="0" fontId="18" fillId="0" borderId="0" xfId="5" applyFont="1"/>
    <xf numFmtId="0" fontId="18" fillId="0" borderId="0" xfId="6" applyFont="1">
      <alignment vertical="top"/>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164" fontId="8" fillId="3" borderId="2" xfId="9" applyFill="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164" fontId="8" fillId="0" borderId="2" xfId="9">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6" fillId="8" borderId="2" xfId="0" applyFont="1" applyFill="1" applyBorder="1" applyAlignment="1">
      <alignment horizontal="left" vertical="center" indent="1"/>
    </xf>
    <xf numFmtId="0" fontId="6" fillId="8" borderId="2" xfId="0" applyFont="1" applyFill="1" applyBorder="1" applyAlignment="1">
      <alignment horizontal="center" vertical="center"/>
    </xf>
    <xf numFmtId="0" fontId="8" fillId="8" borderId="2" xfId="10" applyFill="1">
      <alignment horizontal="center" vertical="center"/>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0" fontId="8" fillId="9" borderId="2" xfId="11" applyFill="1">
      <alignment horizontal="left" vertical="center" indent="2"/>
    </xf>
    <xf numFmtId="0" fontId="8" fillId="9" borderId="2" xfId="11" applyFill="1" applyAlignment="1">
      <alignment horizontal="center" vertical="center"/>
    </xf>
    <xf numFmtId="0" fontId="8" fillId="9" borderId="2" xfId="10" applyFill="1">
      <alignment horizontal="center" vertical="center"/>
    </xf>
    <xf numFmtId="9" fontId="5" fillId="9" borderId="2" xfId="2" applyFont="1" applyFill="1" applyBorder="1" applyAlignment="1">
      <alignment horizontal="center" vertical="center"/>
    </xf>
    <xf numFmtId="164" fontId="8" fillId="9" borderId="2" xfId="9" applyFill="1">
      <alignment horizontal="center" vertical="center"/>
    </xf>
    <xf numFmtId="0" fontId="6" fillId="2" borderId="2" xfId="0" applyFont="1" applyFill="1" applyBorder="1" applyAlignment="1">
      <alignment horizontal="left" vertical="center" indent="1"/>
    </xf>
    <xf numFmtId="0" fontId="6" fillId="2" borderId="2" xfId="0" applyFont="1" applyFill="1" applyBorder="1" applyAlignment="1">
      <alignment horizontal="center" vertical="center"/>
    </xf>
    <xf numFmtId="0" fontId="8" fillId="2" borderId="2" xfId="10" applyFill="1">
      <alignment horizontal="center" vertical="center"/>
    </xf>
    <xf numFmtId="164" fontId="0" fillId="2" borderId="2" xfId="0" applyNumberFormat="1" applyFill="1" applyBorder="1" applyAlignment="1">
      <alignment horizontal="center" vertical="center"/>
    </xf>
    <xf numFmtId="0" fontId="8" fillId="5" borderId="2" xfId="11" applyFill="1">
      <alignment horizontal="left" vertical="center" indent="2"/>
    </xf>
    <xf numFmtId="0" fontId="8" fillId="5" borderId="2" xfId="11" applyFill="1" applyAlignment="1">
      <alignment horizontal="center" vertical="center"/>
    </xf>
    <xf numFmtId="0" fontId="8" fillId="5" borderId="2" xfId="10" applyFill="1">
      <alignment horizontal="center" vertical="center"/>
    </xf>
    <xf numFmtId="9" fontId="5" fillId="5" borderId="2" xfId="2" applyFont="1" applyFill="1" applyBorder="1" applyAlignment="1">
      <alignment horizontal="center" vertical="center"/>
    </xf>
    <xf numFmtId="164" fontId="8" fillId="5" borderId="2" xfId="9" applyFill="1">
      <alignment horizontal="center" vertical="center"/>
    </xf>
    <xf numFmtId="0" fontId="8" fillId="4" borderId="2" xfId="11" applyFill="1">
      <alignment horizontal="left" vertical="center" indent="2"/>
    </xf>
    <xf numFmtId="0" fontId="8" fillId="4" borderId="2" xfId="11" applyFill="1" applyAlignment="1">
      <alignment horizontal="center" vertical="center"/>
    </xf>
    <xf numFmtId="164" fontId="8" fillId="4" borderId="2" xfId="9" applyFill="1">
      <alignment horizontal="center" vertical="center"/>
    </xf>
    <xf numFmtId="0" fontId="17" fillId="10" borderId="1" xfId="0" applyFont="1" applyFill="1" applyBorder="1" applyAlignment="1">
      <alignment horizontal="left" vertical="center" indent="1"/>
    </xf>
    <xf numFmtId="0" fontId="17" fillId="10" borderId="1" xfId="0" applyFont="1" applyFill="1" applyBorder="1" applyAlignment="1">
      <alignment horizontal="center" vertical="center"/>
    </xf>
    <xf numFmtId="0" fontId="17" fillId="10" borderId="1" xfId="0" applyFont="1" applyFill="1" applyBorder="1" applyAlignment="1">
      <alignment horizontal="center" vertical="center" wrapText="1"/>
    </xf>
    <xf numFmtId="0" fontId="17" fillId="10" borderId="7" xfId="0" applyFont="1" applyFill="1" applyBorder="1" applyAlignment="1">
      <alignment horizontal="center" vertical="center" shrinkToFit="1"/>
    </xf>
    <xf numFmtId="165" fontId="10" fillId="11" borderId="5" xfId="0" applyNumberFormat="1" applyFont="1" applyFill="1" applyBorder="1" applyAlignment="1">
      <alignment horizontal="center" vertical="center"/>
    </xf>
    <xf numFmtId="165" fontId="10" fillId="11" borderId="0" xfId="0" applyNumberFormat="1" applyFont="1" applyFill="1" applyAlignment="1">
      <alignment horizontal="center" vertical="center"/>
    </xf>
    <xf numFmtId="165" fontId="10" fillId="11" borderId="6" xfId="0" applyNumberFormat="1" applyFont="1" applyFill="1" applyBorder="1" applyAlignment="1">
      <alignment horizontal="center" vertical="center"/>
    </xf>
    <xf numFmtId="0" fontId="8" fillId="3" borderId="2" xfId="10" quotePrefix="1" applyFill="1">
      <alignment horizontal="center" vertical="center"/>
    </xf>
    <xf numFmtId="166" fontId="0" fillId="11" borderId="10" xfId="0" applyNumberFormat="1" applyFill="1" applyBorder="1" applyAlignment="1">
      <alignment horizontal="left" vertical="center" wrapText="1" indent="1"/>
    </xf>
    <xf numFmtId="0" fontId="0" fillId="11" borderId="1" xfId="0" applyFill="1" applyBorder="1"/>
    <xf numFmtId="0" fontId="0" fillId="11" borderId="4" xfId="0" applyFill="1" applyBorder="1"/>
    <xf numFmtId="167" fontId="8" fillId="0" borderId="3" xfId="8">
      <alignment horizontal="center" vertical="center"/>
    </xf>
    <xf numFmtId="0" fontId="0" fillId="0" borderId="11" xfId="0" applyBorder="1"/>
    <xf numFmtId="0" fontId="8" fillId="0" borderId="6" xfId="7" applyBorder="1">
      <alignment horizontal="right" indent="1"/>
    </xf>
    <xf numFmtId="0" fontId="0" fillId="0" borderId="6" xfId="0" applyBorder="1"/>
  </cellXfs>
  <cellStyles count="12">
    <cellStyle name="Encabezado 1" xfId="5" builtinId="16"/>
    <cellStyle name="Fecha" xfId="9" xr:uid="{00000000-0005-0000-0000-00000A000000}"/>
    <cellStyle name="Hipervínculo" xfId="1" builtinId="8"/>
    <cellStyle name="Inicio del proyecto" xfId="8" xr:uid="{00000000-0005-0000-0000-000009000000}"/>
    <cellStyle name="Nombre" xfId="10" xr:uid="{00000000-0005-0000-0000-00000B000000}"/>
    <cellStyle name="Normal" xfId="0" builtinId="0"/>
    <cellStyle name="Porcentaje" xfId="2" builtinId="5"/>
    <cellStyle name="Tarea" xfId="11" xr:uid="{00000000-0005-0000-0000-00000C000000}"/>
    <cellStyle name="Título" xfId="4" builtinId="15"/>
    <cellStyle name="Título 2" xfId="6" builtinId="17"/>
    <cellStyle name="Título 3" xfId="7" builtinId="18"/>
    <cellStyle name="zTextoOculto" xfId="3" xr:uid="{00000000-0005-0000-0000-000003000000}"/>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X76"/>
  <sheetViews>
    <sheetView showGridLines="0" tabSelected="1" showRuler="0" zoomScale="78" zoomScaleNormal="78" zoomScalePageLayoutView="70" workbookViewId="0">
      <pane ySplit="6" topLeftCell="A56" activePane="bottomLeft" state="frozen"/>
      <selection pane="bottomLeft" activeCell="C58" sqref="C58"/>
    </sheetView>
  </sheetViews>
  <sheetFormatPr baseColWidth="10" defaultColWidth="9.140625" defaultRowHeight="30" customHeight="1" x14ac:dyDescent="0.25"/>
  <cols>
    <col min="1" max="1" width="2.7109375" style="24" customWidth="1"/>
    <col min="2" max="2" width="29.7109375" customWidth="1"/>
    <col min="3" max="3" width="29.7109375" style="5" customWidth="1"/>
    <col min="4" max="4" width="30.7109375" customWidth="1"/>
    <col min="5" max="5" width="10.7109375" customWidth="1"/>
    <col min="6" max="6" width="10.42578125" style="5" customWidth="1"/>
    <col min="7" max="7" width="10.42578125" customWidth="1"/>
    <col min="8" max="8" width="3.140625" customWidth="1"/>
    <col min="9" max="9" width="6.140625" hidden="1" customWidth="1"/>
    <col min="10" max="29" width="3.140625" customWidth="1"/>
    <col min="30" max="30" width="6" customWidth="1"/>
    <col min="31" max="36" width="3.140625" customWidth="1"/>
    <col min="37" max="37" width="6.5703125" customWidth="1"/>
    <col min="38" max="65" width="3.140625" customWidth="1"/>
    <col min="66" max="66" width="3.42578125" customWidth="1"/>
    <col min="67" max="67" width="2.85546875" customWidth="1"/>
    <col min="68" max="68" width="2.140625" customWidth="1"/>
    <col min="69" max="69" width="3.85546875" customWidth="1"/>
    <col min="70" max="70" width="3.28515625" customWidth="1"/>
    <col min="71" max="71" width="2.5703125" customWidth="1"/>
    <col min="72" max="72" width="3" customWidth="1"/>
    <col min="73" max="73" width="2.42578125" customWidth="1"/>
    <col min="74" max="75" width="4" customWidth="1"/>
    <col min="76" max="76" width="2.85546875" customWidth="1"/>
    <col min="77" max="78" width="4" customWidth="1"/>
    <col min="79" max="79" width="5" customWidth="1"/>
    <col min="80" max="80" width="5.42578125" customWidth="1"/>
    <col min="81" max="81" width="4.5703125" customWidth="1"/>
    <col min="82" max="82" width="5.140625" customWidth="1"/>
    <col min="83" max="83" width="4.28515625" customWidth="1"/>
    <col min="84" max="84" width="5.42578125" customWidth="1"/>
    <col min="85" max="85" width="5.7109375" customWidth="1"/>
    <col min="86" max="86" width="4" customWidth="1"/>
    <col min="87" max="87" width="5.7109375" customWidth="1"/>
    <col min="88" max="88" width="3.42578125" customWidth="1"/>
    <col min="89" max="89" width="4.85546875" customWidth="1"/>
    <col min="90" max="90" width="5.42578125" customWidth="1"/>
    <col min="91" max="91" width="5.140625" customWidth="1"/>
    <col min="92" max="92" width="4.28515625" customWidth="1"/>
    <col min="93" max="93" width="5.42578125" customWidth="1"/>
    <col min="94" max="95" width="4" customWidth="1"/>
    <col min="96" max="96" width="4.85546875" customWidth="1"/>
    <col min="97" max="97" width="4.5703125" customWidth="1"/>
    <col min="98" max="98" width="5.7109375" customWidth="1"/>
    <col min="99" max="99" width="5.42578125" customWidth="1"/>
    <col min="100" max="100" width="4" customWidth="1"/>
  </cols>
  <sheetData>
    <row r="1" spans="1:100" ht="30" customHeight="1" x14ac:dyDescent="0.45">
      <c r="A1" s="25" t="s">
        <v>0</v>
      </c>
      <c r="B1" s="49" t="s">
        <v>1</v>
      </c>
      <c r="C1" s="41"/>
      <c r="D1" s="1"/>
      <c r="E1" s="2"/>
      <c r="F1" s="4"/>
      <c r="G1" s="23"/>
      <c r="I1" s="2"/>
      <c r="J1" s="35"/>
    </row>
    <row r="2" spans="1:100" ht="30" customHeight="1" x14ac:dyDescent="0.3">
      <c r="A2" s="24" t="s">
        <v>2</v>
      </c>
      <c r="B2" s="50" t="s">
        <v>3</v>
      </c>
      <c r="C2" s="42"/>
      <c r="J2" s="36"/>
    </row>
    <row r="3" spans="1:100" ht="30" customHeight="1" x14ac:dyDescent="0.25">
      <c r="A3" s="24" t="s">
        <v>4</v>
      </c>
      <c r="B3" s="51" t="s">
        <v>5</v>
      </c>
      <c r="C3" s="43"/>
      <c r="D3" s="96" t="s">
        <v>6</v>
      </c>
      <c r="E3" s="97"/>
      <c r="F3" s="94">
        <v>46101</v>
      </c>
      <c r="G3" s="95"/>
    </row>
    <row r="4" spans="1:100" ht="30" customHeight="1" x14ac:dyDescent="0.25">
      <c r="A4" s="25" t="s">
        <v>7</v>
      </c>
      <c r="D4" s="96" t="s">
        <v>8</v>
      </c>
      <c r="E4" s="97"/>
      <c r="F4" s="7">
        <v>0</v>
      </c>
      <c r="J4" s="91">
        <f>J5</f>
        <v>46090</v>
      </c>
      <c r="K4" s="92"/>
      <c r="L4" s="92"/>
      <c r="M4" s="92"/>
      <c r="N4" s="92"/>
      <c r="O4" s="92"/>
      <c r="P4" s="93"/>
      <c r="Q4" s="91">
        <f>Q5</f>
        <v>46097</v>
      </c>
      <c r="R4" s="92"/>
      <c r="S4" s="92"/>
      <c r="T4" s="92"/>
      <c r="U4" s="92"/>
      <c r="V4" s="92"/>
      <c r="W4" s="93"/>
      <c r="X4" s="91">
        <f>X5</f>
        <v>46104</v>
      </c>
      <c r="Y4" s="92"/>
      <c r="Z4" s="92"/>
      <c r="AA4" s="92"/>
      <c r="AB4" s="92"/>
      <c r="AC4" s="92"/>
      <c r="AD4" s="93"/>
      <c r="AE4" s="91">
        <f>AE5</f>
        <v>46111</v>
      </c>
      <c r="AF4" s="92"/>
      <c r="AG4" s="92"/>
      <c r="AH4" s="92"/>
      <c r="AI4" s="92"/>
      <c r="AJ4" s="92"/>
      <c r="AK4" s="93"/>
      <c r="AL4" s="91">
        <f>AL5</f>
        <v>46118</v>
      </c>
      <c r="AM4" s="92"/>
      <c r="AN4" s="92"/>
      <c r="AO4" s="92"/>
      <c r="AP4" s="92"/>
      <c r="AQ4" s="92"/>
      <c r="AR4" s="93"/>
      <c r="AS4" s="91">
        <f>AS5</f>
        <v>46125</v>
      </c>
      <c r="AT4" s="92"/>
      <c r="AU4" s="92"/>
      <c r="AV4" s="92"/>
      <c r="AW4" s="92"/>
      <c r="AX4" s="92"/>
      <c r="AY4" s="93"/>
      <c r="AZ4" s="91">
        <f>AZ5</f>
        <v>46132</v>
      </c>
      <c r="BA4" s="92"/>
      <c r="BB4" s="92"/>
      <c r="BC4" s="92"/>
      <c r="BD4" s="92"/>
      <c r="BE4" s="92"/>
      <c r="BF4" s="93"/>
      <c r="BG4" s="91">
        <f>BG5</f>
        <v>46139</v>
      </c>
      <c r="BH4" s="92"/>
      <c r="BI4" s="92"/>
      <c r="BJ4" s="92"/>
      <c r="BK4" s="92"/>
      <c r="BL4" s="92"/>
      <c r="BM4" s="93"/>
      <c r="BN4" s="91">
        <f>BN5</f>
        <v>46146</v>
      </c>
      <c r="BO4" s="92"/>
      <c r="BP4" s="92"/>
      <c r="BQ4" s="92"/>
      <c r="BR4" s="92"/>
      <c r="BS4" s="92"/>
      <c r="BT4" s="93"/>
      <c r="BU4" s="91">
        <f>BU5</f>
        <v>46153</v>
      </c>
      <c r="BV4" s="92"/>
      <c r="BW4" s="92"/>
      <c r="BX4" s="92"/>
      <c r="BY4" s="92"/>
      <c r="BZ4" s="92"/>
      <c r="CA4" s="93"/>
      <c r="CB4" s="91">
        <f>CB5</f>
        <v>46160</v>
      </c>
      <c r="CC4" s="92"/>
      <c r="CD4" s="92"/>
      <c r="CE4" s="92"/>
      <c r="CF4" s="92"/>
      <c r="CG4" s="92"/>
      <c r="CH4" s="93"/>
      <c r="CI4" s="91">
        <f>CI5</f>
        <v>46167</v>
      </c>
      <c r="CJ4" s="92"/>
      <c r="CK4" s="92"/>
      <c r="CL4" s="92"/>
      <c r="CM4" s="92"/>
      <c r="CN4" s="92"/>
      <c r="CO4" s="93"/>
      <c r="CP4" s="91">
        <f>CP5</f>
        <v>46174</v>
      </c>
      <c r="CQ4" s="92"/>
      <c r="CR4" s="92"/>
      <c r="CS4" s="92"/>
      <c r="CT4" s="92"/>
      <c r="CU4" s="92"/>
      <c r="CV4" s="93"/>
    </row>
    <row r="5" spans="1:100" ht="15" customHeight="1" x14ac:dyDescent="0.25">
      <c r="A5" s="25" t="s">
        <v>9</v>
      </c>
      <c r="B5" s="34"/>
      <c r="C5" s="44"/>
      <c r="D5" s="34"/>
      <c r="E5" s="34"/>
      <c r="F5" s="34"/>
      <c r="G5" s="34"/>
      <c r="H5" s="34"/>
      <c r="J5" s="87">
        <f>Inicio_del_proyecto-WEEKDAY(Inicio_del_proyecto,1)+2+7*(Semana_para_mostrar-1)</f>
        <v>46090</v>
      </c>
      <c r="K5" s="88">
        <f t="shared" ref="K5:AP5" si="0">J5+1</f>
        <v>46091</v>
      </c>
      <c r="L5" s="88">
        <f t="shared" si="0"/>
        <v>46092</v>
      </c>
      <c r="M5" s="88">
        <f t="shared" si="0"/>
        <v>46093</v>
      </c>
      <c r="N5" s="88">
        <f t="shared" si="0"/>
        <v>46094</v>
      </c>
      <c r="O5" s="88">
        <f t="shared" si="0"/>
        <v>46095</v>
      </c>
      <c r="P5" s="89">
        <f t="shared" si="0"/>
        <v>46096</v>
      </c>
      <c r="Q5" s="87">
        <f t="shared" si="0"/>
        <v>46097</v>
      </c>
      <c r="R5" s="88">
        <f t="shared" si="0"/>
        <v>46098</v>
      </c>
      <c r="S5" s="88">
        <f t="shared" si="0"/>
        <v>46099</v>
      </c>
      <c r="T5" s="88">
        <f t="shared" si="0"/>
        <v>46100</v>
      </c>
      <c r="U5" s="88">
        <f t="shared" si="0"/>
        <v>46101</v>
      </c>
      <c r="V5" s="88">
        <f t="shared" si="0"/>
        <v>46102</v>
      </c>
      <c r="W5" s="89">
        <f t="shared" si="0"/>
        <v>46103</v>
      </c>
      <c r="X5" s="87">
        <f t="shared" si="0"/>
        <v>46104</v>
      </c>
      <c r="Y5" s="88">
        <f t="shared" si="0"/>
        <v>46105</v>
      </c>
      <c r="Z5" s="88">
        <f t="shared" si="0"/>
        <v>46106</v>
      </c>
      <c r="AA5" s="88">
        <f t="shared" si="0"/>
        <v>46107</v>
      </c>
      <c r="AB5" s="88">
        <f t="shared" si="0"/>
        <v>46108</v>
      </c>
      <c r="AC5" s="88">
        <f t="shared" si="0"/>
        <v>46109</v>
      </c>
      <c r="AD5" s="89">
        <f t="shared" si="0"/>
        <v>46110</v>
      </c>
      <c r="AE5" s="87">
        <f t="shared" si="0"/>
        <v>46111</v>
      </c>
      <c r="AF5" s="88">
        <f t="shared" si="0"/>
        <v>46112</v>
      </c>
      <c r="AG5" s="88">
        <f t="shared" si="0"/>
        <v>46113</v>
      </c>
      <c r="AH5" s="88">
        <f t="shared" si="0"/>
        <v>46114</v>
      </c>
      <c r="AI5" s="88">
        <f t="shared" si="0"/>
        <v>46115</v>
      </c>
      <c r="AJ5" s="88">
        <f t="shared" si="0"/>
        <v>46116</v>
      </c>
      <c r="AK5" s="89">
        <f t="shared" si="0"/>
        <v>46117</v>
      </c>
      <c r="AL5" s="87">
        <f t="shared" si="0"/>
        <v>46118</v>
      </c>
      <c r="AM5" s="88">
        <f t="shared" si="0"/>
        <v>46119</v>
      </c>
      <c r="AN5" s="88">
        <f t="shared" si="0"/>
        <v>46120</v>
      </c>
      <c r="AO5" s="88">
        <f t="shared" si="0"/>
        <v>46121</v>
      </c>
      <c r="AP5" s="88">
        <f t="shared" si="0"/>
        <v>46122</v>
      </c>
      <c r="AQ5" s="88">
        <f t="shared" ref="AQ5:BM5" si="1">AP5+1</f>
        <v>46123</v>
      </c>
      <c r="AR5" s="89">
        <f t="shared" si="1"/>
        <v>46124</v>
      </c>
      <c r="AS5" s="87">
        <f t="shared" si="1"/>
        <v>46125</v>
      </c>
      <c r="AT5" s="88">
        <f t="shared" si="1"/>
        <v>46126</v>
      </c>
      <c r="AU5" s="88">
        <f t="shared" si="1"/>
        <v>46127</v>
      </c>
      <c r="AV5" s="88">
        <f t="shared" si="1"/>
        <v>46128</v>
      </c>
      <c r="AW5" s="88">
        <f t="shared" si="1"/>
        <v>46129</v>
      </c>
      <c r="AX5" s="88">
        <f t="shared" si="1"/>
        <v>46130</v>
      </c>
      <c r="AY5" s="89">
        <f t="shared" si="1"/>
        <v>46131</v>
      </c>
      <c r="AZ5" s="87">
        <f t="shared" si="1"/>
        <v>46132</v>
      </c>
      <c r="BA5" s="88">
        <f t="shared" si="1"/>
        <v>46133</v>
      </c>
      <c r="BB5" s="88">
        <f t="shared" si="1"/>
        <v>46134</v>
      </c>
      <c r="BC5" s="88">
        <f t="shared" si="1"/>
        <v>46135</v>
      </c>
      <c r="BD5" s="88">
        <f t="shared" si="1"/>
        <v>46136</v>
      </c>
      <c r="BE5" s="88">
        <f t="shared" si="1"/>
        <v>46137</v>
      </c>
      <c r="BF5" s="89">
        <f t="shared" si="1"/>
        <v>46138</v>
      </c>
      <c r="BG5" s="87">
        <f t="shared" si="1"/>
        <v>46139</v>
      </c>
      <c r="BH5" s="88">
        <f t="shared" si="1"/>
        <v>46140</v>
      </c>
      <c r="BI5" s="88">
        <f t="shared" si="1"/>
        <v>46141</v>
      </c>
      <c r="BJ5" s="88">
        <f t="shared" si="1"/>
        <v>46142</v>
      </c>
      <c r="BK5" s="88">
        <f t="shared" si="1"/>
        <v>46143</v>
      </c>
      <c r="BL5" s="88">
        <f t="shared" si="1"/>
        <v>46144</v>
      </c>
      <c r="BM5" s="89">
        <f t="shared" si="1"/>
        <v>46145</v>
      </c>
      <c r="BN5" s="87">
        <f t="shared" ref="BN5" si="2">BM5+1</f>
        <v>46146</v>
      </c>
      <c r="BO5" s="88">
        <f t="shared" ref="BO5" si="3">BN5+1</f>
        <v>46147</v>
      </c>
      <c r="BP5" s="88">
        <f t="shared" ref="BP5" si="4">BO5+1</f>
        <v>46148</v>
      </c>
      <c r="BQ5" s="88">
        <f t="shared" ref="BQ5" si="5">BP5+1</f>
        <v>46149</v>
      </c>
      <c r="BR5" s="88">
        <f t="shared" ref="BR5" si="6">BQ5+1</f>
        <v>46150</v>
      </c>
      <c r="BS5" s="88">
        <f t="shared" ref="BS5" si="7">BR5+1</f>
        <v>46151</v>
      </c>
      <c r="BT5" s="89">
        <f t="shared" ref="BT5" si="8">BS5+1</f>
        <v>46152</v>
      </c>
      <c r="BU5" s="87">
        <f t="shared" ref="BU5" si="9">BT5+1</f>
        <v>46153</v>
      </c>
      <c r="BV5" s="88">
        <f t="shared" ref="BV5" si="10">BU5+1</f>
        <v>46154</v>
      </c>
      <c r="BW5" s="88">
        <f t="shared" ref="BW5" si="11">BV5+1</f>
        <v>46155</v>
      </c>
      <c r="BX5" s="88">
        <f t="shared" ref="BX5" si="12">BW5+1</f>
        <v>46156</v>
      </c>
      <c r="BY5" s="88">
        <f t="shared" ref="BY5" si="13">BX5+1</f>
        <v>46157</v>
      </c>
      <c r="BZ5" s="88">
        <f t="shared" ref="BZ5" si="14">BY5+1</f>
        <v>46158</v>
      </c>
      <c r="CA5" s="89">
        <f t="shared" ref="CA5" si="15">BZ5+1</f>
        <v>46159</v>
      </c>
      <c r="CB5" s="87">
        <f t="shared" ref="CB5" si="16">CA5+1</f>
        <v>46160</v>
      </c>
      <c r="CC5" s="88">
        <f t="shared" ref="CC5" si="17">CB5+1</f>
        <v>46161</v>
      </c>
      <c r="CD5" s="88">
        <f t="shared" ref="CD5" si="18">CC5+1</f>
        <v>46162</v>
      </c>
      <c r="CE5" s="88">
        <f t="shared" ref="CE5" si="19">CD5+1</f>
        <v>46163</v>
      </c>
      <c r="CF5" s="88">
        <f t="shared" ref="CF5" si="20">CE5+1</f>
        <v>46164</v>
      </c>
      <c r="CG5" s="88">
        <f t="shared" ref="CG5" si="21">CF5+1</f>
        <v>46165</v>
      </c>
      <c r="CH5" s="89">
        <f t="shared" ref="CH5" si="22">CG5+1</f>
        <v>46166</v>
      </c>
      <c r="CI5" s="87">
        <f t="shared" ref="CI5" si="23">CH5+1</f>
        <v>46167</v>
      </c>
      <c r="CJ5" s="88">
        <f t="shared" ref="CJ5" si="24">CI5+1</f>
        <v>46168</v>
      </c>
      <c r="CK5" s="88">
        <f t="shared" ref="CK5" si="25">CJ5+1</f>
        <v>46169</v>
      </c>
      <c r="CL5" s="88">
        <f t="shared" ref="CL5" si="26">CK5+1</f>
        <v>46170</v>
      </c>
      <c r="CM5" s="88">
        <f t="shared" ref="CM5" si="27">CL5+1</f>
        <v>46171</v>
      </c>
      <c r="CN5" s="88">
        <f t="shared" ref="CN5" si="28">CM5+1</f>
        <v>46172</v>
      </c>
      <c r="CO5" s="89">
        <f t="shared" ref="CO5" si="29">CN5+1</f>
        <v>46173</v>
      </c>
      <c r="CP5" s="87">
        <f t="shared" ref="CP5" si="30">CO5+1</f>
        <v>46174</v>
      </c>
      <c r="CQ5" s="88">
        <f t="shared" ref="CQ5" si="31">CP5+1</f>
        <v>46175</v>
      </c>
      <c r="CR5" s="88">
        <f t="shared" ref="CR5" si="32">CQ5+1</f>
        <v>46176</v>
      </c>
      <c r="CS5" s="88">
        <f t="shared" ref="CS5" si="33">CR5+1</f>
        <v>46177</v>
      </c>
      <c r="CT5" s="88">
        <f t="shared" ref="CT5" si="34">CS5+1</f>
        <v>46178</v>
      </c>
      <c r="CU5" s="88">
        <f t="shared" ref="CU5" si="35">CT5+1</f>
        <v>46179</v>
      </c>
      <c r="CV5" s="89">
        <f t="shared" ref="CV5" si="36">CU5+1</f>
        <v>46180</v>
      </c>
    </row>
    <row r="6" spans="1:100" ht="30" customHeight="1" thickBot="1" x14ac:dyDescent="0.3">
      <c r="A6" s="25" t="s">
        <v>10</v>
      </c>
      <c r="B6" s="83" t="s">
        <v>11</v>
      </c>
      <c r="C6" s="84" t="s">
        <v>12</v>
      </c>
      <c r="D6" s="85" t="s">
        <v>13</v>
      </c>
      <c r="E6" s="85" t="s">
        <v>14</v>
      </c>
      <c r="F6" s="85" t="s">
        <v>15</v>
      </c>
      <c r="G6" s="85" t="s">
        <v>16</v>
      </c>
      <c r="H6" s="85"/>
      <c r="I6" s="85" t="s">
        <v>17</v>
      </c>
      <c r="J6" s="86" t="str">
        <f t="shared" ref="J6:AO6" si="37">LEFT(TEXT(J5,"ddd"),1)</f>
        <v>l</v>
      </c>
      <c r="K6" s="86" t="str">
        <f t="shared" si="37"/>
        <v>m</v>
      </c>
      <c r="L6" s="86" t="str">
        <f t="shared" si="37"/>
        <v>m</v>
      </c>
      <c r="M6" s="86" t="str">
        <f t="shared" si="37"/>
        <v>j</v>
      </c>
      <c r="N6" s="86" t="str">
        <f t="shared" si="37"/>
        <v>v</v>
      </c>
      <c r="O6" s="86" t="str">
        <f t="shared" si="37"/>
        <v>s</v>
      </c>
      <c r="P6" s="86" t="str">
        <f t="shared" si="37"/>
        <v>d</v>
      </c>
      <c r="Q6" s="86" t="str">
        <f t="shared" si="37"/>
        <v>l</v>
      </c>
      <c r="R6" s="86" t="str">
        <f t="shared" si="37"/>
        <v>m</v>
      </c>
      <c r="S6" s="86" t="str">
        <f t="shared" si="37"/>
        <v>m</v>
      </c>
      <c r="T6" s="86" t="str">
        <f t="shared" si="37"/>
        <v>j</v>
      </c>
      <c r="U6" s="86" t="str">
        <f t="shared" si="37"/>
        <v>v</v>
      </c>
      <c r="V6" s="86" t="str">
        <f t="shared" si="37"/>
        <v>s</v>
      </c>
      <c r="W6" s="86" t="str">
        <f t="shared" si="37"/>
        <v>d</v>
      </c>
      <c r="X6" s="86" t="str">
        <f t="shared" si="37"/>
        <v>l</v>
      </c>
      <c r="Y6" s="86" t="str">
        <f t="shared" si="37"/>
        <v>m</v>
      </c>
      <c r="Z6" s="86" t="str">
        <f t="shared" si="37"/>
        <v>m</v>
      </c>
      <c r="AA6" s="86" t="str">
        <f t="shared" si="37"/>
        <v>j</v>
      </c>
      <c r="AB6" s="86" t="str">
        <f t="shared" si="37"/>
        <v>v</v>
      </c>
      <c r="AC6" s="86" t="str">
        <f t="shared" si="37"/>
        <v>s</v>
      </c>
      <c r="AD6" s="86" t="str">
        <f t="shared" si="37"/>
        <v>d</v>
      </c>
      <c r="AE6" s="86" t="str">
        <f t="shared" si="37"/>
        <v>l</v>
      </c>
      <c r="AF6" s="86" t="str">
        <f t="shared" si="37"/>
        <v>m</v>
      </c>
      <c r="AG6" s="86" t="str">
        <f t="shared" si="37"/>
        <v>m</v>
      </c>
      <c r="AH6" s="86" t="str">
        <f t="shared" si="37"/>
        <v>j</v>
      </c>
      <c r="AI6" s="86" t="str">
        <f t="shared" si="37"/>
        <v>v</v>
      </c>
      <c r="AJ6" s="86" t="str">
        <f t="shared" si="37"/>
        <v>s</v>
      </c>
      <c r="AK6" s="86" t="str">
        <f t="shared" si="37"/>
        <v>d</v>
      </c>
      <c r="AL6" s="86" t="str">
        <f t="shared" si="37"/>
        <v>l</v>
      </c>
      <c r="AM6" s="86" t="str">
        <f t="shared" si="37"/>
        <v>m</v>
      </c>
      <c r="AN6" s="86" t="str">
        <f t="shared" si="37"/>
        <v>m</v>
      </c>
      <c r="AO6" s="86" t="str">
        <f t="shared" si="37"/>
        <v>j</v>
      </c>
      <c r="AP6" s="86" t="str">
        <f t="shared" ref="AP6:BM6" si="38">LEFT(TEXT(AP5,"ddd"),1)</f>
        <v>v</v>
      </c>
      <c r="AQ6" s="86" t="str">
        <f t="shared" si="38"/>
        <v>s</v>
      </c>
      <c r="AR6" s="86" t="str">
        <f t="shared" si="38"/>
        <v>d</v>
      </c>
      <c r="AS6" s="86" t="str">
        <f t="shared" si="38"/>
        <v>l</v>
      </c>
      <c r="AT6" s="86" t="str">
        <f t="shared" si="38"/>
        <v>m</v>
      </c>
      <c r="AU6" s="86" t="str">
        <f t="shared" si="38"/>
        <v>m</v>
      </c>
      <c r="AV6" s="86" t="str">
        <f t="shared" si="38"/>
        <v>j</v>
      </c>
      <c r="AW6" s="86" t="str">
        <f t="shared" si="38"/>
        <v>v</v>
      </c>
      <c r="AX6" s="86" t="str">
        <f t="shared" si="38"/>
        <v>s</v>
      </c>
      <c r="AY6" s="86" t="str">
        <f t="shared" si="38"/>
        <v>d</v>
      </c>
      <c r="AZ6" s="86" t="str">
        <f t="shared" si="38"/>
        <v>l</v>
      </c>
      <c r="BA6" s="86" t="str">
        <f t="shared" si="38"/>
        <v>m</v>
      </c>
      <c r="BB6" s="86" t="str">
        <f t="shared" si="38"/>
        <v>m</v>
      </c>
      <c r="BC6" s="86" t="str">
        <f t="shared" si="38"/>
        <v>j</v>
      </c>
      <c r="BD6" s="86" t="str">
        <f t="shared" si="38"/>
        <v>v</v>
      </c>
      <c r="BE6" s="86" t="str">
        <f t="shared" si="38"/>
        <v>s</v>
      </c>
      <c r="BF6" s="86" t="str">
        <f t="shared" si="38"/>
        <v>d</v>
      </c>
      <c r="BG6" s="86" t="str">
        <f t="shared" si="38"/>
        <v>l</v>
      </c>
      <c r="BH6" s="86" t="str">
        <f t="shared" si="38"/>
        <v>m</v>
      </c>
      <c r="BI6" s="86" t="str">
        <f t="shared" si="38"/>
        <v>m</v>
      </c>
      <c r="BJ6" s="86" t="str">
        <f t="shared" si="38"/>
        <v>j</v>
      </c>
      <c r="BK6" s="86" t="str">
        <f t="shared" si="38"/>
        <v>v</v>
      </c>
      <c r="BL6" s="86" t="str">
        <f t="shared" si="38"/>
        <v>s</v>
      </c>
      <c r="BM6" s="86" t="str">
        <f t="shared" si="38"/>
        <v>d</v>
      </c>
      <c r="BN6" s="86" t="str">
        <f t="shared" ref="BN6:CV6" si="39">LEFT(TEXT(BN5,"ddd"),1)</f>
        <v>l</v>
      </c>
      <c r="BO6" s="86" t="str">
        <f t="shared" si="39"/>
        <v>m</v>
      </c>
      <c r="BP6" s="86" t="str">
        <f t="shared" si="39"/>
        <v>m</v>
      </c>
      <c r="BQ6" s="86" t="str">
        <f t="shared" si="39"/>
        <v>j</v>
      </c>
      <c r="BR6" s="86" t="str">
        <f t="shared" si="39"/>
        <v>v</v>
      </c>
      <c r="BS6" s="86" t="str">
        <f t="shared" si="39"/>
        <v>s</v>
      </c>
      <c r="BT6" s="86" t="str">
        <f t="shared" si="39"/>
        <v>d</v>
      </c>
      <c r="BU6" s="86" t="str">
        <f t="shared" si="39"/>
        <v>l</v>
      </c>
      <c r="BV6" s="86" t="str">
        <f t="shared" si="39"/>
        <v>m</v>
      </c>
      <c r="BW6" s="86" t="str">
        <f t="shared" si="39"/>
        <v>m</v>
      </c>
      <c r="BX6" s="86" t="str">
        <f t="shared" si="39"/>
        <v>j</v>
      </c>
      <c r="BY6" s="86" t="str">
        <f t="shared" si="39"/>
        <v>v</v>
      </c>
      <c r="BZ6" s="86" t="str">
        <f t="shared" si="39"/>
        <v>s</v>
      </c>
      <c r="CA6" s="86" t="str">
        <f t="shared" si="39"/>
        <v>d</v>
      </c>
      <c r="CB6" s="86" t="str">
        <f t="shared" si="39"/>
        <v>l</v>
      </c>
      <c r="CC6" s="86" t="str">
        <f t="shared" si="39"/>
        <v>m</v>
      </c>
      <c r="CD6" s="86" t="str">
        <f t="shared" si="39"/>
        <v>m</v>
      </c>
      <c r="CE6" s="86" t="str">
        <f t="shared" si="39"/>
        <v>j</v>
      </c>
      <c r="CF6" s="86" t="str">
        <f t="shared" si="39"/>
        <v>v</v>
      </c>
      <c r="CG6" s="86" t="str">
        <f t="shared" si="39"/>
        <v>s</v>
      </c>
      <c r="CH6" s="86" t="str">
        <f t="shared" si="39"/>
        <v>d</v>
      </c>
      <c r="CI6" s="86" t="str">
        <f t="shared" si="39"/>
        <v>l</v>
      </c>
      <c r="CJ6" s="86" t="str">
        <f t="shared" si="39"/>
        <v>m</v>
      </c>
      <c r="CK6" s="86" t="str">
        <f t="shared" si="39"/>
        <v>m</v>
      </c>
      <c r="CL6" s="86" t="str">
        <f t="shared" si="39"/>
        <v>j</v>
      </c>
      <c r="CM6" s="86" t="str">
        <f t="shared" si="39"/>
        <v>v</v>
      </c>
      <c r="CN6" s="86" t="str">
        <f t="shared" si="39"/>
        <v>s</v>
      </c>
      <c r="CO6" s="86" t="str">
        <f t="shared" si="39"/>
        <v>d</v>
      </c>
      <c r="CP6" s="86" t="str">
        <f t="shared" si="39"/>
        <v>l</v>
      </c>
      <c r="CQ6" s="86" t="str">
        <f t="shared" si="39"/>
        <v>m</v>
      </c>
      <c r="CR6" s="86" t="str">
        <f t="shared" si="39"/>
        <v>m</v>
      </c>
      <c r="CS6" s="86" t="str">
        <f t="shared" si="39"/>
        <v>j</v>
      </c>
      <c r="CT6" s="86" t="str">
        <f t="shared" si="39"/>
        <v>v</v>
      </c>
      <c r="CU6" s="86" t="str">
        <f t="shared" si="39"/>
        <v>s</v>
      </c>
      <c r="CV6" s="86" t="str">
        <f t="shared" si="39"/>
        <v>d</v>
      </c>
    </row>
    <row r="7" spans="1:100" ht="30" hidden="1" customHeight="1" thickBot="1" x14ac:dyDescent="0.3">
      <c r="A7" s="24" t="s">
        <v>18</v>
      </c>
      <c r="D7" s="27"/>
      <c r="I7" t="str">
        <f>IF(OR(ISBLANK(task_start),ISBLANK(task_end)),"",task_end-task_start+1)</f>
        <v/>
      </c>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row>
    <row r="8" spans="1:100" s="3" customFormat="1" ht="29.25" customHeight="1" thickBot="1" x14ac:dyDescent="0.3">
      <c r="A8" s="25" t="s">
        <v>19</v>
      </c>
      <c r="B8" s="12" t="s">
        <v>20</v>
      </c>
      <c r="C8" s="45"/>
      <c r="D8" s="28"/>
      <c r="E8" s="13"/>
      <c r="F8" s="52"/>
      <c r="G8" s="53"/>
      <c r="H8" s="11"/>
      <c r="I8" s="11" t="str">
        <f>IF(OR(ISBLANK(task_start),ISBLANK(task_end)),"",task_end-task_start+1)</f>
        <v/>
      </c>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row>
    <row r="9" spans="1:100" s="3" customFormat="1" ht="30" customHeight="1" thickBot="1" x14ac:dyDescent="0.3">
      <c r="A9" s="25" t="s">
        <v>21</v>
      </c>
      <c r="B9" s="32" t="s">
        <v>22</v>
      </c>
      <c r="C9" s="40" t="s">
        <v>23</v>
      </c>
      <c r="D9" s="39" t="s">
        <v>24</v>
      </c>
      <c r="E9" s="14">
        <v>1</v>
      </c>
      <c r="F9" s="54">
        <v>46105</v>
      </c>
      <c r="G9" s="54">
        <v>46105</v>
      </c>
      <c r="H9" s="11"/>
      <c r="I9" s="11">
        <f>IF(OR(ISBLANK(task_start),ISBLANK(task_end)),"",task_end-task_start+1)</f>
        <v>1</v>
      </c>
      <c r="J9" s="38"/>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row>
    <row r="10" spans="1:100" s="3" customFormat="1" ht="30" customHeight="1" thickBot="1" x14ac:dyDescent="0.3">
      <c r="A10" s="25"/>
      <c r="B10" s="32" t="s">
        <v>25</v>
      </c>
      <c r="C10" s="40" t="s">
        <v>26</v>
      </c>
      <c r="D10" s="39" t="s">
        <v>27</v>
      </c>
      <c r="E10" s="14">
        <v>1</v>
      </c>
      <c r="F10" s="54">
        <v>46106</v>
      </c>
      <c r="G10" s="54">
        <v>46106</v>
      </c>
      <c r="H10" s="11"/>
      <c r="I10" s="11"/>
      <c r="J10" s="38"/>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row>
    <row r="11" spans="1:100" s="3" customFormat="1" ht="30" customHeight="1" thickBot="1" x14ac:dyDescent="0.3">
      <c r="A11" s="25"/>
      <c r="B11" s="32" t="s">
        <v>25</v>
      </c>
      <c r="C11" s="40" t="s">
        <v>28</v>
      </c>
      <c r="D11" s="39" t="s">
        <v>27</v>
      </c>
      <c r="E11" s="14">
        <v>1</v>
      </c>
      <c r="F11" s="54">
        <v>46108</v>
      </c>
      <c r="G11" s="54">
        <v>46108</v>
      </c>
      <c r="H11" s="11"/>
      <c r="I11" s="11"/>
      <c r="J11" s="38"/>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row>
    <row r="12" spans="1:100" s="3" customFormat="1" ht="30" customHeight="1" thickBot="1" x14ac:dyDescent="0.3">
      <c r="A12" s="25"/>
      <c r="B12" s="32" t="s">
        <v>29</v>
      </c>
      <c r="C12" s="40" t="s">
        <v>30</v>
      </c>
      <c r="D12" s="39" t="s">
        <v>27</v>
      </c>
      <c r="E12" s="14">
        <v>1</v>
      </c>
      <c r="F12" s="54">
        <v>46108</v>
      </c>
      <c r="G12" s="54">
        <v>46113</v>
      </c>
      <c r="H12" s="11"/>
      <c r="I12" s="11"/>
      <c r="J12" s="38"/>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row>
    <row r="13" spans="1:100" s="3" customFormat="1" ht="30" customHeight="1" thickBot="1" x14ac:dyDescent="0.3">
      <c r="A13" s="25" t="s">
        <v>31</v>
      </c>
      <c r="B13" s="32" t="s">
        <v>32</v>
      </c>
      <c r="C13" s="40"/>
      <c r="D13" s="39" t="s">
        <v>38</v>
      </c>
      <c r="E13" s="14">
        <v>1</v>
      </c>
      <c r="F13" s="54">
        <v>46102</v>
      </c>
      <c r="G13" s="54">
        <v>46106</v>
      </c>
      <c r="H13" s="11"/>
      <c r="I13" s="11"/>
      <c r="J13" s="38"/>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row>
    <row r="14" spans="1:100" s="3" customFormat="1" ht="30" customHeight="1" thickBot="1" x14ac:dyDescent="0.3">
      <c r="A14" s="25"/>
      <c r="B14" s="32" t="s">
        <v>34</v>
      </c>
      <c r="C14" s="40"/>
      <c r="D14" s="39" t="s">
        <v>33</v>
      </c>
      <c r="E14" s="14">
        <v>1</v>
      </c>
      <c r="F14" s="54">
        <v>46102</v>
      </c>
      <c r="G14" s="54">
        <v>46106</v>
      </c>
      <c r="H14" s="11"/>
      <c r="I14" s="11"/>
      <c r="J14" s="38"/>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row>
    <row r="15" spans="1:100" s="3" customFormat="1" ht="30" customHeight="1" thickBot="1" x14ac:dyDescent="0.3">
      <c r="A15" s="25"/>
      <c r="B15" s="32" t="s">
        <v>35</v>
      </c>
      <c r="C15" s="40"/>
      <c r="D15" s="39" t="s">
        <v>36</v>
      </c>
      <c r="E15" s="14">
        <v>1</v>
      </c>
      <c r="F15" s="54">
        <v>46109</v>
      </c>
      <c r="G15" s="54">
        <v>46115</v>
      </c>
      <c r="H15" s="11"/>
      <c r="I15" s="11"/>
      <c r="J15" s="38"/>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row>
    <row r="16" spans="1:100" s="3" customFormat="1" ht="30" customHeight="1" thickBot="1" x14ac:dyDescent="0.3">
      <c r="A16" s="25"/>
      <c r="B16" s="32" t="s">
        <v>37</v>
      </c>
      <c r="C16" s="40"/>
      <c r="D16" s="39" t="s">
        <v>38</v>
      </c>
      <c r="E16" s="14">
        <v>1</v>
      </c>
      <c r="F16" s="54">
        <v>46108</v>
      </c>
      <c r="G16" s="54">
        <v>46117</v>
      </c>
      <c r="H16" s="11"/>
      <c r="I16" s="11"/>
      <c r="J16" s="38"/>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row>
    <row r="17" spans="1:100" s="3" customFormat="1" ht="30" customHeight="1" thickBot="1" x14ac:dyDescent="0.3">
      <c r="A17" s="25"/>
      <c r="B17" s="32" t="s">
        <v>39</v>
      </c>
      <c r="C17" s="40"/>
      <c r="D17" s="39" t="s">
        <v>38</v>
      </c>
      <c r="E17" s="14">
        <v>1</v>
      </c>
      <c r="F17" s="54">
        <v>46109</v>
      </c>
      <c r="G17" s="54">
        <v>46117</v>
      </c>
      <c r="H17" s="11"/>
      <c r="I17" s="11"/>
      <c r="J17" s="38"/>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row>
    <row r="18" spans="1:100" s="3" customFormat="1" ht="30" customHeight="1" thickBot="1" x14ac:dyDescent="0.3">
      <c r="A18" s="25"/>
      <c r="B18" s="32" t="s">
        <v>40</v>
      </c>
      <c r="C18" s="40"/>
      <c r="D18" s="39" t="s">
        <v>36</v>
      </c>
      <c r="E18" s="14">
        <v>1</v>
      </c>
      <c r="F18" s="54">
        <v>46107</v>
      </c>
      <c r="G18" s="54">
        <v>46113</v>
      </c>
      <c r="H18" s="11"/>
      <c r="I18" s="11"/>
      <c r="J18" s="38"/>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row>
    <row r="19" spans="1:100" s="3" customFormat="1" ht="30" customHeight="1" thickBot="1" x14ac:dyDescent="0.3">
      <c r="A19" s="25"/>
      <c r="B19" s="32" t="s">
        <v>41</v>
      </c>
      <c r="C19" s="40"/>
      <c r="D19" s="39" t="s">
        <v>27</v>
      </c>
      <c r="E19" s="14">
        <v>1</v>
      </c>
      <c r="F19" s="54">
        <v>46103</v>
      </c>
      <c r="G19" s="54">
        <v>46104</v>
      </c>
      <c r="H19" s="11"/>
      <c r="I19" s="11"/>
      <c r="J19" s="38"/>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row>
    <row r="20" spans="1:100" s="3" customFormat="1" ht="30" customHeight="1" thickBot="1" x14ac:dyDescent="0.3">
      <c r="A20" s="25"/>
      <c r="B20" s="32" t="s">
        <v>42</v>
      </c>
      <c r="C20" s="40"/>
      <c r="D20" s="39" t="s">
        <v>33</v>
      </c>
      <c r="E20" s="14">
        <v>1</v>
      </c>
      <c r="F20" s="54">
        <v>46112</v>
      </c>
      <c r="G20" s="54">
        <v>46117</v>
      </c>
      <c r="H20" s="11"/>
      <c r="I20" s="11"/>
      <c r="J20" s="38"/>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row>
    <row r="21" spans="1:100" s="3" customFormat="1" ht="30" customHeight="1" thickBot="1" x14ac:dyDescent="0.3">
      <c r="A21" s="25"/>
      <c r="B21" s="32" t="s">
        <v>43</v>
      </c>
      <c r="C21" s="46"/>
      <c r="D21" s="39" t="s">
        <v>44</v>
      </c>
      <c r="E21" s="14">
        <v>1</v>
      </c>
      <c r="F21" s="54">
        <v>46105</v>
      </c>
      <c r="G21" s="54">
        <v>46105</v>
      </c>
      <c r="H21" s="11"/>
      <c r="I21" s="11"/>
      <c r="J21" s="38"/>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row>
    <row r="22" spans="1:100" s="3" customFormat="1" ht="30" customHeight="1" thickBot="1" x14ac:dyDescent="0.3">
      <c r="A22" s="25"/>
      <c r="B22" s="32" t="s">
        <v>45</v>
      </c>
      <c r="C22" s="40"/>
      <c r="D22" s="39" t="s">
        <v>36</v>
      </c>
      <c r="E22" s="14">
        <v>1</v>
      </c>
      <c r="F22" s="54">
        <v>46106</v>
      </c>
      <c r="G22" s="54">
        <v>46106</v>
      </c>
      <c r="H22" s="11"/>
      <c r="I22" s="11"/>
      <c r="J22" s="38"/>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row>
    <row r="23" spans="1:100" s="3" customFormat="1" ht="30" customHeight="1" thickBot="1" x14ac:dyDescent="0.3">
      <c r="A23" s="25"/>
      <c r="B23" s="32" t="s">
        <v>46</v>
      </c>
      <c r="C23" s="40"/>
      <c r="D23" s="39" t="s">
        <v>38</v>
      </c>
      <c r="E23" s="14">
        <v>1</v>
      </c>
      <c r="F23" s="54">
        <v>46111</v>
      </c>
      <c r="G23" s="54">
        <v>46113</v>
      </c>
      <c r="H23" s="11"/>
      <c r="I23" s="11"/>
      <c r="J23" s="38"/>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row>
    <row r="24" spans="1:100" s="3" customFormat="1" ht="30" customHeight="1" thickBot="1" x14ac:dyDescent="0.3">
      <c r="A24" s="25" t="s">
        <v>47</v>
      </c>
      <c r="B24" s="32" t="s">
        <v>48</v>
      </c>
      <c r="C24" s="46" t="s">
        <v>49</v>
      </c>
      <c r="D24" s="29" t="s">
        <v>27</v>
      </c>
      <c r="E24" s="14">
        <v>1</v>
      </c>
      <c r="F24" s="54">
        <v>46112</v>
      </c>
      <c r="G24" s="54">
        <v>46091</v>
      </c>
      <c r="H24" s="11"/>
      <c r="I24" s="11">
        <f>IF(OR(ISBLANK(task_start),ISBLANK(task_end)),"",task_end-task_start+1)</f>
        <v>-20</v>
      </c>
      <c r="J24" s="21"/>
      <c r="K24" s="21"/>
      <c r="L24" s="21"/>
      <c r="M24" s="21"/>
      <c r="N24" s="21"/>
      <c r="O24" s="21"/>
      <c r="P24" s="21"/>
      <c r="Q24" s="21"/>
      <c r="R24" s="21"/>
      <c r="S24" s="21"/>
      <c r="T24" s="21"/>
      <c r="U24" s="21"/>
      <c r="V24" s="37"/>
      <c r="W24" s="37"/>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row>
    <row r="25" spans="1:100" s="3" customFormat="1" ht="30" customHeight="1" thickBot="1" x14ac:dyDescent="0.3">
      <c r="A25" s="24"/>
      <c r="B25" s="32" t="s">
        <v>50</v>
      </c>
      <c r="C25" s="46"/>
      <c r="D25" s="29" t="s">
        <v>51</v>
      </c>
      <c r="E25" s="14">
        <v>1</v>
      </c>
      <c r="F25" s="54">
        <v>46103</v>
      </c>
      <c r="G25" s="54">
        <v>46108</v>
      </c>
      <c r="H25" s="11"/>
      <c r="I25" s="11"/>
      <c r="J25" s="21"/>
      <c r="K25" s="21"/>
      <c r="L25" s="21"/>
      <c r="M25" s="21"/>
      <c r="N25" s="21"/>
      <c r="O25" s="21"/>
      <c r="P25" s="21"/>
      <c r="Q25" s="21"/>
      <c r="R25" s="21"/>
      <c r="S25" s="21"/>
      <c r="T25" s="21"/>
      <c r="U25" s="21"/>
      <c r="V25" s="21"/>
      <c r="W25" s="21"/>
      <c r="X25" s="21"/>
      <c r="Y25" s="21"/>
      <c r="Z25" s="37"/>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row>
    <row r="26" spans="1:100" s="3" customFormat="1" ht="30" customHeight="1" thickBot="1" x14ac:dyDescent="0.3">
      <c r="A26" s="24"/>
      <c r="B26" s="32" t="s">
        <v>52</v>
      </c>
      <c r="C26" s="46"/>
      <c r="D26" s="29" t="s">
        <v>53</v>
      </c>
      <c r="E26" s="14">
        <v>1</v>
      </c>
      <c r="F26" s="54">
        <v>46116</v>
      </c>
      <c r="G26" s="54">
        <v>46118</v>
      </c>
      <c r="H26" s="11"/>
      <c r="I26" s="11"/>
      <c r="J26" s="21"/>
      <c r="K26" s="21"/>
      <c r="L26" s="21"/>
      <c r="M26" s="21"/>
      <c r="N26" s="21"/>
      <c r="O26" s="21"/>
      <c r="P26" s="21"/>
      <c r="Q26" s="21"/>
      <c r="R26" s="21"/>
      <c r="S26" s="21"/>
      <c r="T26" s="21"/>
      <c r="U26" s="21"/>
      <c r="V26" s="21"/>
      <c r="W26" s="21"/>
      <c r="X26" s="21"/>
      <c r="Y26" s="21"/>
      <c r="Z26" s="37"/>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row>
    <row r="27" spans="1:100" s="3" customFormat="1" ht="30" customHeight="1" thickBot="1" x14ac:dyDescent="0.3">
      <c r="A27" s="25"/>
      <c r="B27" s="32" t="s">
        <v>54</v>
      </c>
      <c r="C27" s="40"/>
      <c r="D27" s="39" t="s">
        <v>36</v>
      </c>
      <c r="E27" s="14">
        <v>1</v>
      </c>
      <c r="F27" s="54">
        <v>46116</v>
      </c>
      <c r="G27" s="54">
        <v>46117</v>
      </c>
      <c r="H27" s="11"/>
      <c r="I27" s="11"/>
      <c r="J27" s="38"/>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row>
    <row r="28" spans="1:100" s="3" customFormat="1" ht="30" customHeight="1" thickBot="1" x14ac:dyDescent="0.3">
      <c r="A28" s="24"/>
      <c r="B28" s="32" t="s">
        <v>55</v>
      </c>
      <c r="C28" s="46"/>
      <c r="D28" s="29" t="s">
        <v>36</v>
      </c>
      <c r="E28" s="14">
        <v>1</v>
      </c>
      <c r="F28" s="54">
        <v>46118</v>
      </c>
      <c r="G28" s="54">
        <v>46118</v>
      </c>
      <c r="H28" s="11"/>
      <c r="I28" s="11"/>
      <c r="J28" s="21"/>
      <c r="K28" s="21"/>
      <c r="L28" s="21"/>
      <c r="M28" s="21"/>
      <c r="N28" s="21"/>
      <c r="O28" s="21"/>
      <c r="P28" s="21"/>
      <c r="Q28" s="21"/>
      <c r="R28" s="21"/>
      <c r="S28" s="21"/>
      <c r="T28" s="21"/>
      <c r="U28" s="21"/>
      <c r="V28" s="21"/>
      <c r="W28" s="21"/>
      <c r="X28" s="21"/>
      <c r="Y28" s="21"/>
      <c r="Z28" s="37"/>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row>
    <row r="29" spans="1:100" s="3" customFormat="1" ht="30" customHeight="1" thickBot="1" x14ac:dyDescent="0.3">
      <c r="A29" s="24"/>
      <c r="B29" s="32" t="s">
        <v>56</v>
      </c>
      <c r="C29" s="46"/>
      <c r="D29" s="29" t="s">
        <v>57</v>
      </c>
      <c r="E29" s="14">
        <v>1</v>
      </c>
      <c r="F29" s="54">
        <v>46102</v>
      </c>
      <c r="G29" s="54">
        <v>46127</v>
      </c>
      <c r="H29" s="11"/>
      <c r="I29" s="11"/>
      <c r="J29" s="21"/>
      <c r="K29" s="21"/>
      <c r="L29" s="21"/>
      <c r="M29" s="21"/>
      <c r="N29" s="21"/>
      <c r="O29" s="21"/>
      <c r="P29" s="21"/>
      <c r="Q29" s="21"/>
      <c r="R29" s="21"/>
      <c r="S29" s="21"/>
      <c r="T29" s="21"/>
      <c r="U29" s="21"/>
      <c r="V29" s="21"/>
      <c r="W29" s="21"/>
      <c r="X29" s="21"/>
      <c r="Y29" s="21"/>
      <c r="Z29" s="37"/>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row>
    <row r="30" spans="1:100" s="3" customFormat="1" ht="30" customHeight="1" thickBot="1" x14ac:dyDescent="0.3">
      <c r="A30" s="24"/>
      <c r="B30" s="32" t="s">
        <v>58</v>
      </c>
      <c r="C30" s="46"/>
      <c r="D30" s="29" t="s">
        <v>24</v>
      </c>
      <c r="E30" s="14">
        <v>1</v>
      </c>
      <c r="F30" s="54">
        <v>46120</v>
      </c>
      <c r="G30" s="54">
        <v>46120</v>
      </c>
      <c r="H30" s="11"/>
      <c r="I30" s="11"/>
      <c r="J30" s="21"/>
      <c r="K30" s="21"/>
      <c r="L30" s="21"/>
      <c r="M30" s="21"/>
      <c r="N30" s="21"/>
      <c r="O30" s="21"/>
      <c r="P30" s="21"/>
      <c r="Q30" s="21"/>
      <c r="R30" s="21"/>
      <c r="S30" s="21"/>
      <c r="T30" s="21"/>
      <c r="U30" s="21"/>
      <c r="V30" s="21"/>
      <c r="W30" s="21"/>
      <c r="X30" s="21"/>
      <c r="Y30" s="21"/>
      <c r="Z30" s="37"/>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row>
    <row r="31" spans="1:100" s="3" customFormat="1" ht="30" customHeight="1" thickBot="1" x14ac:dyDescent="0.3">
      <c r="A31" s="24"/>
      <c r="B31" s="32" t="s">
        <v>59</v>
      </c>
      <c r="C31" s="46"/>
      <c r="D31" s="29" t="s">
        <v>60</v>
      </c>
      <c r="E31" s="14">
        <v>1</v>
      </c>
      <c r="F31" s="54">
        <v>46098</v>
      </c>
      <c r="G31" s="54">
        <v>46129</v>
      </c>
      <c r="H31" s="11"/>
      <c r="I31" s="11"/>
      <c r="J31" s="21"/>
      <c r="K31" s="21"/>
      <c r="L31" s="21"/>
      <c r="M31" s="21"/>
      <c r="N31" s="21"/>
      <c r="O31" s="21"/>
      <c r="P31" s="21"/>
      <c r="Q31" s="21"/>
      <c r="R31" s="21"/>
      <c r="S31" s="21"/>
      <c r="T31" s="21"/>
      <c r="U31" s="21"/>
      <c r="V31" s="21"/>
      <c r="W31" s="21"/>
      <c r="X31" s="21"/>
      <c r="Y31" s="21"/>
      <c r="Z31" s="37"/>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row>
    <row r="32" spans="1:100" s="3" customFormat="1" ht="30" customHeight="1" thickBot="1" x14ac:dyDescent="0.3">
      <c r="A32" s="24"/>
      <c r="B32" s="32" t="s">
        <v>61</v>
      </c>
      <c r="C32" s="46"/>
      <c r="D32" s="29" t="s">
        <v>38</v>
      </c>
      <c r="E32" s="14">
        <v>1</v>
      </c>
      <c r="F32" s="54">
        <v>46112</v>
      </c>
      <c r="G32" s="54">
        <v>46130</v>
      </c>
      <c r="H32" s="11"/>
      <c r="I32" s="11"/>
      <c r="J32" s="21"/>
      <c r="K32" s="21"/>
      <c r="L32" s="21"/>
      <c r="M32" s="21"/>
      <c r="N32" s="21"/>
      <c r="O32" s="21"/>
      <c r="P32" s="21"/>
      <c r="Q32" s="21"/>
      <c r="R32" s="21"/>
      <c r="S32" s="21"/>
      <c r="T32" s="21"/>
      <c r="U32" s="21"/>
      <c r="V32" s="21"/>
      <c r="W32" s="21"/>
      <c r="X32" s="21"/>
      <c r="Y32" s="21"/>
      <c r="Z32" s="37"/>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row>
    <row r="33" spans="1:100" s="3" customFormat="1" ht="30" customHeight="1" thickBot="1" x14ac:dyDescent="0.3">
      <c r="A33" s="24"/>
      <c r="B33" s="32" t="s">
        <v>62</v>
      </c>
      <c r="C33" s="46"/>
      <c r="D33" s="29" t="s">
        <v>60</v>
      </c>
      <c r="E33" s="14">
        <v>1</v>
      </c>
      <c r="F33" s="54">
        <v>46113</v>
      </c>
      <c r="G33" s="54">
        <v>46127</v>
      </c>
      <c r="H33" s="11"/>
      <c r="I33" s="11"/>
      <c r="J33" s="21"/>
      <c r="K33" s="21"/>
      <c r="L33" s="21"/>
      <c r="M33" s="21"/>
      <c r="N33" s="21"/>
      <c r="O33" s="21"/>
      <c r="P33" s="21"/>
      <c r="Q33" s="21"/>
      <c r="R33" s="21"/>
      <c r="S33" s="21"/>
      <c r="T33" s="21"/>
      <c r="U33" s="21"/>
      <c r="V33" s="21"/>
      <c r="W33" s="21"/>
      <c r="X33" s="21"/>
      <c r="Y33" s="21"/>
      <c r="Z33" s="37"/>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row>
    <row r="34" spans="1:100" s="3" customFormat="1" ht="30" customHeight="1" thickBot="1" x14ac:dyDescent="0.3">
      <c r="A34" s="24"/>
      <c r="B34" s="32" t="s">
        <v>63</v>
      </c>
      <c r="C34" s="46"/>
      <c r="D34" s="29" t="s">
        <v>36</v>
      </c>
      <c r="E34" s="14">
        <v>1</v>
      </c>
      <c r="F34" s="54">
        <v>46123</v>
      </c>
      <c r="G34" s="54">
        <v>46129</v>
      </c>
      <c r="H34" s="11"/>
      <c r="I34" s="11"/>
      <c r="J34" s="21"/>
      <c r="K34" s="21"/>
      <c r="L34" s="21"/>
      <c r="M34" s="21"/>
      <c r="N34" s="21"/>
      <c r="O34" s="21"/>
      <c r="P34" s="21"/>
      <c r="Q34" s="21"/>
      <c r="R34" s="21"/>
      <c r="S34" s="21"/>
      <c r="T34" s="21"/>
      <c r="U34" s="21"/>
      <c r="V34" s="21"/>
      <c r="W34" s="21"/>
      <c r="X34" s="21"/>
      <c r="Y34" s="21"/>
      <c r="Z34" s="37"/>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row>
    <row r="35" spans="1:100" s="3" customFormat="1" ht="30" customHeight="1" thickBot="1" x14ac:dyDescent="0.3">
      <c r="A35" s="24"/>
      <c r="B35" s="32" t="s">
        <v>64</v>
      </c>
      <c r="C35" s="46"/>
      <c r="D35" s="29" t="s">
        <v>112</v>
      </c>
      <c r="E35" s="14">
        <v>1</v>
      </c>
      <c r="F35" s="54">
        <v>46113</v>
      </c>
      <c r="G35" s="54">
        <v>46130</v>
      </c>
      <c r="H35" s="11"/>
      <c r="I35" s="11"/>
      <c r="J35" s="21"/>
      <c r="K35" s="21"/>
      <c r="L35" s="21"/>
      <c r="M35" s="21"/>
      <c r="N35" s="21"/>
      <c r="O35" s="21"/>
      <c r="P35" s="21"/>
      <c r="Q35" s="21"/>
      <c r="R35" s="21"/>
      <c r="S35" s="21"/>
      <c r="T35" s="21"/>
      <c r="U35" s="21"/>
      <c r="V35" s="21"/>
      <c r="W35" s="21"/>
      <c r="X35" s="21"/>
      <c r="Y35" s="21"/>
      <c r="Z35" s="37"/>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row>
    <row r="36" spans="1:100" s="3" customFormat="1" ht="30" customHeight="1" thickBot="1" x14ac:dyDescent="0.3">
      <c r="A36" s="24"/>
      <c r="B36" s="32" t="s">
        <v>65</v>
      </c>
      <c r="C36" s="46"/>
      <c r="D36" s="29" t="s">
        <v>66</v>
      </c>
      <c r="E36" s="14">
        <v>1</v>
      </c>
      <c r="F36" s="54">
        <v>46128</v>
      </c>
      <c r="G36" s="54">
        <v>46128</v>
      </c>
      <c r="H36" s="11"/>
      <c r="I36" s="11"/>
      <c r="J36" s="21"/>
      <c r="K36" s="21"/>
      <c r="L36" s="21"/>
      <c r="M36" s="21"/>
      <c r="N36" s="21"/>
      <c r="O36" s="21"/>
      <c r="P36" s="21"/>
      <c r="Q36" s="21"/>
      <c r="R36" s="21"/>
      <c r="S36" s="21"/>
      <c r="T36" s="21"/>
      <c r="U36" s="21"/>
      <c r="V36" s="21"/>
      <c r="W36" s="21"/>
      <c r="X36" s="21"/>
      <c r="Y36" s="21"/>
      <c r="Z36" s="37"/>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row>
    <row r="37" spans="1:100" s="3" customFormat="1" ht="30" customHeight="1" thickBot="1" x14ac:dyDescent="0.3">
      <c r="A37" s="24"/>
      <c r="B37" s="32" t="s">
        <v>67</v>
      </c>
      <c r="C37" s="46"/>
      <c r="D37" s="29" t="s">
        <v>24</v>
      </c>
      <c r="E37" s="14">
        <v>1</v>
      </c>
      <c r="F37" s="54">
        <v>46128</v>
      </c>
      <c r="G37" s="54">
        <v>46131</v>
      </c>
      <c r="H37" s="11"/>
      <c r="I37" s="11"/>
      <c r="J37" s="21"/>
      <c r="K37" s="21"/>
      <c r="L37" s="21"/>
      <c r="M37" s="21"/>
      <c r="N37" s="21"/>
      <c r="O37" s="21"/>
      <c r="P37" s="21"/>
      <c r="Q37" s="21"/>
      <c r="R37" s="21"/>
      <c r="S37" s="21"/>
      <c r="T37" s="21"/>
      <c r="U37" s="21"/>
      <c r="V37" s="21"/>
      <c r="W37" s="21"/>
      <c r="X37" s="21"/>
      <c r="Y37" s="21"/>
      <c r="Z37" s="37"/>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row>
    <row r="38" spans="1:100" s="3" customFormat="1" ht="30" customHeight="1" thickBot="1" x14ac:dyDescent="0.3">
      <c r="A38" s="24"/>
      <c r="B38" s="32" t="s">
        <v>68</v>
      </c>
      <c r="C38" s="46"/>
      <c r="D38" s="29" t="s">
        <v>24</v>
      </c>
      <c r="E38" s="14">
        <v>1</v>
      </c>
      <c r="F38" s="54">
        <v>46131</v>
      </c>
      <c r="G38" s="54">
        <v>46131</v>
      </c>
      <c r="H38" s="11"/>
      <c r="I38" s="11"/>
      <c r="J38" s="21"/>
      <c r="K38" s="21"/>
      <c r="L38" s="21"/>
      <c r="M38" s="21"/>
      <c r="N38" s="21"/>
      <c r="O38" s="21"/>
      <c r="P38" s="21"/>
      <c r="Q38" s="21"/>
      <c r="R38" s="21"/>
      <c r="S38" s="21"/>
      <c r="T38" s="21"/>
      <c r="U38" s="21"/>
      <c r="V38" s="21"/>
      <c r="W38" s="21"/>
      <c r="X38" s="21"/>
      <c r="Y38" s="21"/>
      <c r="Z38" s="37"/>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row>
    <row r="39" spans="1:100" s="3" customFormat="1" ht="30" customHeight="1" thickBot="1" x14ac:dyDescent="0.3">
      <c r="A39" s="24"/>
      <c r="B39" s="32" t="s">
        <v>69</v>
      </c>
      <c r="C39" s="46"/>
      <c r="D39" s="90" t="s">
        <v>70</v>
      </c>
      <c r="E39" s="14">
        <v>0</v>
      </c>
      <c r="F39" s="54">
        <v>46132</v>
      </c>
      <c r="G39" s="54">
        <v>46133</v>
      </c>
      <c r="H39" s="11"/>
      <c r="I39" s="11"/>
      <c r="J39" s="21"/>
      <c r="K39" s="21"/>
      <c r="L39" s="21"/>
      <c r="M39" s="21"/>
      <c r="N39" s="21"/>
      <c r="O39" s="21"/>
      <c r="P39" s="21"/>
      <c r="Q39" s="21"/>
      <c r="R39" s="21"/>
      <c r="S39" s="21"/>
      <c r="T39" s="21"/>
      <c r="U39" s="21"/>
      <c r="V39" s="21"/>
      <c r="W39" s="21"/>
      <c r="X39" s="21"/>
      <c r="Y39" s="21"/>
      <c r="Z39" s="37"/>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row>
    <row r="40" spans="1:100" s="3" customFormat="1" ht="30" customHeight="1" thickBot="1" x14ac:dyDescent="0.3">
      <c r="A40" s="24"/>
      <c r="B40" s="32" t="s">
        <v>71</v>
      </c>
      <c r="C40" s="46"/>
      <c r="D40" s="29" t="s">
        <v>27</v>
      </c>
      <c r="E40" s="14">
        <v>0</v>
      </c>
      <c r="F40" s="54">
        <v>46134</v>
      </c>
      <c r="G40" s="54">
        <v>46134</v>
      </c>
      <c r="H40" s="11"/>
      <c r="I40" s="11">
        <f t="shared" ref="I40:I73" si="40">IF(OR(ISBLANK(task_start),ISBLANK(task_end)),"",task_end-task_start+1)</f>
        <v>1</v>
      </c>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row>
    <row r="41" spans="1:100" s="3" customFormat="1" ht="30" customHeight="1" thickBot="1" x14ac:dyDescent="0.3">
      <c r="A41" s="25" t="s">
        <v>72</v>
      </c>
      <c r="B41" s="60" t="s">
        <v>73</v>
      </c>
      <c r="C41" s="61"/>
      <c r="D41" s="62"/>
      <c r="E41" s="63"/>
      <c r="F41" s="64"/>
      <c r="G41" s="65"/>
      <c r="H41" s="11"/>
      <c r="I41" s="11" t="str">
        <f t="shared" si="40"/>
        <v/>
      </c>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row>
    <row r="42" spans="1:100" s="3" customFormat="1" ht="30" customHeight="1" thickBot="1" x14ac:dyDescent="0.3">
      <c r="A42" s="25"/>
      <c r="B42" s="66" t="s">
        <v>84</v>
      </c>
      <c r="C42" s="67" t="s">
        <v>96</v>
      </c>
      <c r="D42" s="68" t="s">
        <v>85</v>
      </c>
      <c r="E42" s="69">
        <v>1</v>
      </c>
      <c r="F42" s="70">
        <v>46152</v>
      </c>
      <c r="G42" s="70">
        <v>46161</v>
      </c>
      <c r="H42" s="11"/>
      <c r="I42" s="11">
        <f t="shared" si="40"/>
        <v>10</v>
      </c>
      <c r="J42" s="21"/>
      <c r="K42" s="21"/>
      <c r="L42" s="21"/>
      <c r="M42" s="21"/>
      <c r="N42" s="21"/>
      <c r="O42" s="21"/>
      <c r="P42" s="21"/>
      <c r="Q42" s="21"/>
      <c r="R42" s="21"/>
      <c r="S42" s="21"/>
      <c r="T42" s="21"/>
      <c r="U42" s="21"/>
      <c r="V42" s="37"/>
      <c r="W42" s="37"/>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38"/>
      <c r="BT42" s="38"/>
      <c r="BU42" s="21"/>
      <c r="BV42" s="38"/>
      <c r="BW42" s="38"/>
      <c r="BX42" s="38"/>
      <c r="BY42" s="38"/>
      <c r="BZ42" s="38"/>
      <c r="CA42" s="38"/>
      <c r="CB42" s="21"/>
      <c r="CC42" s="21"/>
      <c r="CD42" s="21"/>
      <c r="CE42" s="21"/>
      <c r="CF42" s="21"/>
      <c r="CG42" s="21"/>
      <c r="CH42" s="21"/>
      <c r="CI42" s="21"/>
      <c r="CJ42" s="21"/>
      <c r="CK42" s="21"/>
      <c r="CL42" s="21"/>
      <c r="CM42" s="21"/>
      <c r="CN42" s="21"/>
      <c r="CO42" s="21"/>
      <c r="CP42" s="21"/>
      <c r="CQ42" s="21"/>
      <c r="CR42" s="21"/>
      <c r="CS42" s="21"/>
      <c r="CT42" s="21"/>
      <c r="CU42" s="21"/>
      <c r="CV42" s="21"/>
    </row>
    <row r="43" spans="1:100" s="3" customFormat="1" ht="30" customHeight="1" thickBot="1" x14ac:dyDescent="0.3">
      <c r="A43" s="24"/>
      <c r="B43" s="66" t="s">
        <v>86</v>
      </c>
      <c r="C43" s="67" t="s">
        <v>96</v>
      </c>
      <c r="D43" s="68" t="s">
        <v>85</v>
      </c>
      <c r="E43" s="69">
        <v>1</v>
      </c>
      <c r="F43" s="70">
        <v>46161</v>
      </c>
      <c r="G43" s="70">
        <v>46161</v>
      </c>
      <c r="H43" s="11"/>
      <c r="I43" s="11">
        <f t="shared" si="40"/>
        <v>1</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row>
    <row r="44" spans="1:100" s="3" customFormat="1" ht="30" customHeight="1" thickBot="1" x14ac:dyDescent="0.3">
      <c r="A44" s="24"/>
      <c r="B44" s="66" t="s">
        <v>87</v>
      </c>
      <c r="C44" s="67" t="s">
        <v>96</v>
      </c>
      <c r="D44" s="68" t="s">
        <v>85</v>
      </c>
      <c r="E44" s="69">
        <v>1</v>
      </c>
      <c r="F44" s="70">
        <v>46151</v>
      </c>
      <c r="G44" s="70">
        <v>46162</v>
      </c>
      <c r="H44" s="11"/>
      <c r="I44" s="1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row>
    <row r="45" spans="1:100" s="3" customFormat="1" ht="30" customHeight="1" thickBot="1" x14ac:dyDescent="0.3">
      <c r="A45" s="24"/>
      <c r="B45" s="66" t="s">
        <v>109</v>
      </c>
      <c r="C45" s="67" t="s">
        <v>97</v>
      </c>
      <c r="D45" s="68" t="s">
        <v>85</v>
      </c>
      <c r="E45" s="69">
        <v>1</v>
      </c>
      <c r="F45" s="70">
        <v>46163</v>
      </c>
      <c r="G45" s="70">
        <v>46168</v>
      </c>
      <c r="H45" s="11"/>
      <c r="I45" s="1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row>
    <row r="46" spans="1:100" s="3" customFormat="1" ht="30" customHeight="1" thickBot="1" x14ac:dyDescent="0.3">
      <c r="A46" s="24"/>
      <c r="B46" s="66" t="s">
        <v>88</v>
      </c>
      <c r="C46" s="67" t="s">
        <v>98</v>
      </c>
      <c r="D46" s="68" t="s">
        <v>111</v>
      </c>
      <c r="E46" s="69">
        <v>1</v>
      </c>
      <c r="F46" s="70">
        <v>46157</v>
      </c>
      <c r="G46" s="70">
        <v>46159</v>
      </c>
      <c r="H46" s="11"/>
      <c r="I46" s="11">
        <f t="shared" si="40"/>
        <v>3</v>
      </c>
      <c r="J46" s="21"/>
      <c r="K46" s="21"/>
      <c r="L46" s="21"/>
      <c r="M46" s="21"/>
      <c r="N46" s="21"/>
      <c r="O46" s="21"/>
      <c r="P46" s="21"/>
      <c r="Q46" s="21"/>
      <c r="R46" s="21"/>
      <c r="S46" s="21"/>
      <c r="T46" s="21"/>
      <c r="U46" s="21"/>
      <c r="V46" s="21"/>
      <c r="W46" s="21"/>
      <c r="X46" s="21"/>
      <c r="Y46" s="21"/>
      <c r="Z46" s="37"/>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row>
    <row r="47" spans="1:100" s="3" customFormat="1" ht="30" customHeight="1" thickBot="1" x14ac:dyDescent="0.3">
      <c r="A47" s="24"/>
      <c r="B47" s="66" t="s">
        <v>90</v>
      </c>
      <c r="C47" s="67" t="s">
        <v>98</v>
      </c>
      <c r="D47" s="68" t="s">
        <v>89</v>
      </c>
      <c r="E47" s="69">
        <v>1</v>
      </c>
      <c r="F47" s="70">
        <v>46152</v>
      </c>
      <c r="G47" s="70">
        <v>46164</v>
      </c>
      <c r="H47" s="11"/>
      <c r="I47" s="11"/>
      <c r="J47" s="21"/>
      <c r="K47" s="21"/>
      <c r="L47" s="21"/>
      <c r="M47" s="21"/>
      <c r="N47" s="21"/>
      <c r="O47" s="21"/>
      <c r="P47" s="21"/>
      <c r="Q47" s="21"/>
      <c r="R47" s="21"/>
      <c r="S47" s="21"/>
      <c r="T47" s="21"/>
      <c r="U47" s="21"/>
      <c r="V47" s="21"/>
      <c r="W47" s="21"/>
      <c r="X47" s="21"/>
      <c r="Y47" s="21"/>
      <c r="Z47" s="37"/>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row>
    <row r="48" spans="1:100" s="3" customFormat="1" ht="30" customHeight="1" thickBot="1" x14ac:dyDescent="0.3">
      <c r="A48" s="24"/>
      <c r="B48" s="66" t="s">
        <v>99</v>
      </c>
      <c r="C48" s="67" t="s">
        <v>100</v>
      </c>
      <c r="D48" s="68" t="s">
        <v>92</v>
      </c>
      <c r="E48" s="69">
        <v>1</v>
      </c>
      <c r="F48" s="70">
        <v>46159</v>
      </c>
      <c r="G48" s="70">
        <v>46162</v>
      </c>
      <c r="H48" s="11"/>
      <c r="I48" s="11"/>
      <c r="J48" s="21"/>
      <c r="K48" s="21"/>
      <c r="L48" s="21"/>
      <c r="M48" s="21"/>
      <c r="N48" s="21"/>
      <c r="O48" s="21"/>
      <c r="P48" s="21"/>
      <c r="Q48" s="21"/>
      <c r="R48" s="21"/>
      <c r="S48" s="21"/>
      <c r="T48" s="21"/>
      <c r="U48" s="21"/>
      <c r="V48" s="21"/>
      <c r="W48" s="21"/>
      <c r="X48" s="21"/>
      <c r="Y48" s="21"/>
      <c r="Z48" s="37"/>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row>
    <row r="49" spans="1:102" s="3" customFormat="1" ht="30" customHeight="1" thickBot="1" x14ac:dyDescent="0.3">
      <c r="A49" s="24" t="s">
        <v>79</v>
      </c>
      <c r="B49" s="66" t="s">
        <v>101</v>
      </c>
      <c r="C49" s="67" t="s">
        <v>97</v>
      </c>
      <c r="D49" s="68" t="s">
        <v>92</v>
      </c>
      <c r="E49" s="69">
        <v>1</v>
      </c>
      <c r="F49" s="70">
        <v>46165</v>
      </c>
      <c r="G49" s="70">
        <v>46166</v>
      </c>
      <c r="H49" s="11"/>
      <c r="I49" s="11"/>
      <c r="J49" s="21"/>
      <c r="K49" s="21"/>
      <c r="L49" s="21"/>
      <c r="M49" s="21"/>
      <c r="N49" s="21"/>
      <c r="O49" s="21"/>
      <c r="P49" s="21"/>
      <c r="Q49" s="21"/>
      <c r="R49" s="21"/>
      <c r="S49" s="21"/>
      <c r="T49" s="21"/>
      <c r="U49" s="21"/>
      <c r="V49" s="21"/>
      <c r="W49" s="21"/>
      <c r="X49" s="21"/>
      <c r="Y49" s="21"/>
      <c r="Z49" s="37"/>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row>
    <row r="50" spans="1:102" s="3" customFormat="1" ht="30" customHeight="1" thickBot="1" x14ac:dyDescent="0.3">
      <c r="A50" s="24"/>
      <c r="B50" s="66" t="s">
        <v>93</v>
      </c>
      <c r="C50" s="67" t="s">
        <v>98</v>
      </c>
      <c r="D50" s="68" t="s">
        <v>110</v>
      </c>
      <c r="E50" s="69">
        <v>1</v>
      </c>
      <c r="F50" s="70">
        <v>46152</v>
      </c>
      <c r="G50" s="70">
        <v>46162</v>
      </c>
      <c r="H50" s="11"/>
      <c r="I50" s="11"/>
      <c r="J50" s="21"/>
      <c r="K50" s="21"/>
      <c r="L50" s="21"/>
      <c r="M50" s="21"/>
      <c r="N50" s="21"/>
      <c r="O50" s="21"/>
      <c r="P50" s="21"/>
      <c r="Q50" s="21"/>
      <c r="R50" s="21"/>
      <c r="S50" s="21"/>
      <c r="T50" s="21"/>
      <c r="U50" s="21"/>
      <c r="V50" s="21"/>
      <c r="W50" s="21"/>
      <c r="X50" s="21"/>
      <c r="Y50" s="21"/>
      <c r="Z50" s="37"/>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row>
    <row r="51" spans="1:102" s="3" customFormat="1" ht="30" customHeight="1" thickBot="1" x14ac:dyDescent="0.3">
      <c r="A51" s="24"/>
      <c r="B51" s="66" t="s">
        <v>95</v>
      </c>
      <c r="C51" s="67" t="s">
        <v>98</v>
      </c>
      <c r="D51" s="68" t="s">
        <v>94</v>
      </c>
      <c r="E51" s="69">
        <v>1</v>
      </c>
      <c r="F51" s="70">
        <v>46163</v>
      </c>
      <c r="G51" s="70">
        <v>46163</v>
      </c>
      <c r="H51" s="11"/>
      <c r="I51" s="11"/>
      <c r="J51" s="21"/>
      <c r="K51" s="21"/>
      <c r="L51" s="21"/>
      <c r="M51" s="21"/>
      <c r="N51" s="21"/>
      <c r="O51" s="21"/>
      <c r="P51" s="21"/>
      <c r="Q51" s="21"/>
      <c r="R51" s="21"/>
      <c r="S51" s="21"/>
      <c r="T51" s="21"/>
      <c r="U51" s="21"/>
      <c r="V51" s="21"/>
      <c r="W51" s="21"/>
      <c r="X51" s="21"/>
      <c r="Y51" s="21"/>
      <c r="Z51" s="37"/>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row>
    <row r="52" spans="1:102" s="3" customFormat="1" ht="30" customHeight="1" thickBot="1" x14ac:dyDescent="0.3">
      <c r="A52" s="24"/>
      <c r="B52" s="66" t="s">
        <v>103</v>
      </c>
      <c r="C52" s="67" t="s">
        <v>102</v>
      </c>
      <c r="D52" s="68" t="s">
        <v>85</v>
      </c>
      <c r="E52" s="69">
        <v>1</v>
      </c>
      <c r="F52" s="70">
        <v>46151</v>
      </c>
      <c r="G52" s="70">
        <v>46168</v>
      </c>
      <c r="H52" s="11"/>
      <c r="I52" s="11"/>
      <c r="J52" s="21"/>
      <c r="K52" s="21"/>
      <c r="L52" s="21"/>
      <c r="M52" s="21"/>
      <c r="N52" s="21"/>
      <c r="O52" s="21"/>
      <c r="P52" s="21"/>
      <c r="Q52" s="21"/>
      <c r="R52" s="21"/>
      <c r="S52" s="21"/>
      <c r="T52" s="21"/>
      <c r="U52" s="21"/>
      <c r="V52" s="21"/>
      <c r="W52" s="21"/>
      <c r="X52" s="21"/>
      <c r="Y52" s="21"/>
      <c r="Z52" s="37"/>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row>
    <row r="53" spans="1:102" s="3" customFormat="1" ht="30" customHeight="1" thickBot="1" x14ac:dyDescent="0.3">
      <c r="A53" s="24"/>
      <c r="B53" s="66" t="s">
        <v>104</v>
      </c>
      <c r="C53" s="67" t="s">
        <v>105</v>
      </c>
      <c r="D53" s="68" t="s">
        <v>89</v>
      </c>
      <c r="E53" s="69">
        <v>1</v>
      </c>
      <c r="F53" s="70">
        <v>46164</v>
      </c>
      <c r="G53" s="70">
        <v>46168</v>
      </c>
      <c r="H53" s="11"/>
      <c r="I53" s="11"/>
      <c r="J53" s="21"/>
      <c r="K53" s="21"/>
      <c r="L53" s="21"/>
      <c r="M53" s="21"/>
      <c r="N53" s="21"/>
      <c r="O53" s="21"/>
      <c r="P53" s="21"/>
      <c r="Q53" s="21"/>
      <c r="R53" s="21"/>
      <c r="S53" s="21"/>
      <c r="T53" s="21"/>
      <c r="U53" s="21"/>
      <c r="V53" s="21"/>
      <c r="W53" s="21"/>
      <c r="X53" s="21"/>
      <c r="Y53" s="21"/>
      <c r="Z53" s="37"/>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row>
    <row r="54" spans="1:102" s="3" customFormat="1" ht="30" customHeight="1" thickBot="1" x14ac:dyDescent="0.3">
      <c r="A54" s="24"/>
      <c r="B54" s="66" t="s">
        <v>104</v>
      </c>
      <c r="C54" s="67" t="s">
        <v>105</v>
      </c>
      <c r="D54" s="68" t="s">
        <v>94</v>
      </c>
      <c r="E54" s="69">
        <v>1</v>
      </c>
      <c r="F54" s="70">
        <v>46164</v>
      </c>
      <c r="G54" s="70">
        <v>46168</v>
      </c>
      <c r="H54" s="11"/>
      <c r="I54" s="11"/>
      <c r="J54" s="21"/>
      <c r="K54" s="21"/>
      <c r="L54" s="21"/>
      <c r="M54" s="21"/>
      <c r="N54" s="21"/>
      <c r="O54" s="21"/>
      <c r="P54" s="21"/>
      <c r="Q54" s="21"/>
      <c r="R54" s="21"/>
      <c r="S54" s="21"/>
      <c r="T54" s="21"/>
      <c r="U54" s="21"/>
      <c r="V54" s="21"/>
      <c r="W54" s="21"/>
      <c r="X54" s="21"/>
      <c r="Y54" s="21"/>
      <c r="Z54" s="37"/>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row>
    <row r="55" spans="1:102" s="3" customFormat="1" ht="30" customHeight="1" thickBot="1" x14ac:dyDescent="0.3">
      <c r="A55" s="24" t="s">
        <v>79</v>
      </c>
      <c r="B55" s="66" t="s">
        <v>113</v>
      </c>
      <c r="C55" s="67" t="s">
        <v>114</v>
      </c>
      <c r="D55" s="68" t="s">
        <v>115</v>
      </c>
      <c r="E55" s="69">
        <v>1</v>
      </c>
      <c r="F55" s="70">
        <v>46164</v>
      </c>
      <c r="G55" s="70">
        <v>46168</v>
      </c>
      <c r="H55" s="11"/>
      <c r="I55" s="11"/>
      <c r="J55" s="21"/>
      <c r="K55" s="21"/>
      <c r="L55" s="21"/>
      <c r="M55" s="21"/>
      <c r="N55" s="21"/>
      <c r="O55" s="21"/>
      <c r="P55" s="21"/>
      <c r="Q55" s="21"/>
      <c r="R55" s="21"/>
      <c r="S55" s="21"/>
      <c r="T55" s="21"/>
      <c r="U55" s="21"/>
      <c r="V55" s="21"/>
      <c r="W55" s="21"/>
      <c r="X55" s="21"/>
      <c r="Y55" s="21"/>
      <c r="Z55" s="37"/>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row>
    <row r="56" spans="1:102" s="3" customFormat="1" ht="30" customHeight="1" thickBot="1" x14ac:dyDescent="0.3">
      <c r="A56" s="24"/>
      <c r="B56" s="66" t="s">
        <v>116</v>
      </c>
      <c r="C56" s="67" t="s">
        <v>97</v>
      </c>
      <c r="D56" s="68" t="s">
        <v>92</v>
      </c>
      <c r="E56" s="69">
        <v>1</v>
      </c>
      <c r="F56" s="70">
        <v>46165</v>
      </c>
      <c r="G56" s="70">
        <v>46166</v>
      </c>
      <c r="H56" s="11"/>
      <c r="I56" s="11"/>
      <c r="J56" s="21"/>
      <c r="K56" s="21"/>
      <c r="L56" s="21"/>
      <c r="M56" s="21"/>
      <c r="N56" s="21"/>
      <c r="O56" s="21"/>
      <c r="P56" s="21"/>
      <c r="Q56" s="21"/>
      <c r="R56" s="21"/>
      <c r="S56" s="21"/>
      <c r="T56" s="21"/>
      <c r="U56" s="21"/>
      <c r="V56" s="21"/>
      <c r="W56" s="21"/>
      <c r="X56" s="21"/>
      <c r="Y56" s="21"/>
      <c r="Z56" s="37"/>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row>
    <row r="57" spans="1:102" s="3" customFormat="1" ht="30" customHeight="1" thickBot="1" x14ac:dyDescent="0.3">
      <c r="A57" s="24"/>
      <c r="B57" s="66" t="s">
        <v>107</v>
      </c>
      <c r="C57" s="67" t="s">
        <v>96</v>
      </c>
      <c r="D57" s="68" t="s">
        <v>85</v>
      </c>
      <c r="E57" s="69">
        <v>1</v>
      </c>
      <c r="F57" s="70">
        <v>46165</v>
      </c>
      <c r="G57" s="70">
        <v>46166</v>
      </c>
      <c r="H57" s="11"/>
      <c r="I57" s="11"/>
      <c r="J57" s="21"/>
      <c r="K57" s="21"/>
      <c r="L57" s="21"/>
      <c r="M57" s="21"/>
      <c r="N57" s="21"/>
      <c r="O57" s="21"/>
      <c r="P57" s="21"/>
      <c r="Q57" s="21"/>
      <c r="R57" s="21"/>
      <c r="S57" s="21"/>
      <c r="T57" s="21"/>
      <c r="U57" s="21"/>
      <c r="V57" s="21"/>
      <c r="W57" s="21"/>
      <c r="X57" s="21"/>
      <c r="Y57" s="21"/>
      <c r="Z57" s="37"/>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row>
    <row r="58" spans="1:102" s="3" customFormat="1" ht="30" customHeight="1" thickBot="1" x14ac:dyDescent="0.3">
      <c r="A58" s="24"/>
      <c r="B58" s="66" t="s">
        <v>97</v>
      </c>
      <c r="C58" s="67" t="s">
        <v>108</v>
      </c>
      <c r="D58" s="68" t="s">
        <v>106</v>
      </c>
      <c r="E58" s="69">
        <v>0</v>
      </c>
      <c r="F58" s="70"/>
      <c r="G58" s="70"/>
      <c r="H58" s="11"/>
      <c r="I58" s="11"/>
      <c r="J58" s="21"/>
      <c r="K58" s="21"/>
      <c r="L58" s="21"/>
      <c r="M58" s="21"/>
      <c r="N58" s="21"/>
      <c r="O58" s="21"/>
      <c r="P58" s="21"/>
      <c r="Q58" s="21"/>
      <c r="R58" s="21"/>
      <c r="S58" s="21"/>
      <c r="T58" s="21"/>
      <c r="U58" s="21"/>
      <c r="V58" s="21"/>
      <c r="W58" s="21"/>
      <c r="X58" s="21"/>
      <c r="Y58" s="21"/>
      <c r="Z58" s="37"/>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row>
    <row r="59" spans="1:102" s="3" customFormat="1" ht="30" customHeight="1" thickBot="1" x14ac:dyDescent="0.3">
      <c r="A59" s="24"/>
      <c r="B59" s="66" t="s">
        <v>97</v>
      </c>
      <c r="C59" s="67" t="s">
        <v>108</v>
      </c>
      <c r="D59" s="68" t="s">
        <v>91</v>
      </c>
      <c r="E59" s="69">
        <v>0.5</v>
      </c>
      <c r="F59" s="70">
        <v>46165</v>
      </c>
      <c r="G59" s="70">
        <v>46166</v>
      </c>
      <c r="H59" s="11"/>
      <c r="I59" s="11">
        <f t="shared" si="40"/>
        <v>2</v>
      </c>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row>
    <row r="60" spans="1:102" s="3" customFormat="1" ht="30" customHeight="1" thickBot="1" x14ac:dyDescent="0.3">
      <c r="A60" s="24"/>
      <c r="B60" s="71" t="s">
        <v>80</v>
      </c>
      <c r="C60" s="72"/>
      <c r="D60" s="73"/>
      <c r="E60" s="19"/>
      <c r="F60" s="74"/>
      <c r="G60" s="59"/>
      <c r="H60" s="11"/>
      <c r="I60" s="11" t="str">
        <f t="shared" si="40"/>
        <v/>
      </c>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c r="CX60"/>
    </row>
    <row r="61" spans="1:102" ht="30" customHeight="1" thickBot="1" x14ac:dyDescent="0.3">
      <c r="A61" s="24" t="s">
        <v>82</v>
      </c>
      <c r="B61" s="75" t="s">
        <v>74</v>
      </c>
      <c r="C61" s="76"/>
      <c r="D61" s="77"/>
      <c r="E61" s="78"/>
      <c r="F61" s="79"/>
      <c r="G61" s="79"/>
      <c r="H61" s="11"/>
      <c r="I61" s="11" t="str">
        <f t="shared" si="40"/>
        <v/>
      </c>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row>
    <row r="62" spans="1:102" ht="30" customHeight="1" thickBot="1" x14ac:dyDescent="0.3">
      <c r="A62" s="25" t="s">
        <v>83</v>
      </c>
      <c r="B62" s="75" t="s">
        <v>75</v>
      </c>
      <c r="C62" s="76"/>
      <c r="D62" s="77"/>
      <c r="E62" s="78"/>
      <c r="F62" s="79"/>
      <c r="G62" s="79"/>
      <c r="H62" s="11"/>
      <c r="I62" s="11" t="str">
        <f t="shared" si="40"/>
        <v/>
      </c>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row>
    <row r="63" spans="1:102" ht="30" customHeight="1" thickBot="1" x14ac:dyDescent="0.3">
      <c r="B63" s="75" t="s">
        <v>76</v>
      </c>
      <c r="C63" s="76"/>
      <c r="D63" s="77"/>
      <c r="E63" s="78"/>
      <c r="F63" s="79"/>
      <c r="G63" s="79"/>
      <c r="H63" s="11"/>
      <c r="I63" s="11" t="str">
        <f t="shared" si="40"/>
        <v/>
      </c>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row>
    <row r="64" spans="1:102" ht="30" customHeight="1" thickBot="1" x14ac:dyDescent="0.3">
      <c r="B64" s="75" t="s">
        <v>77</v>
      </c>
      <c r="C64" s="76"/>
      <c r="D64" s="77"/>
      <c r="E64" s="78"/>
      <c r="F64" s="79"/>
      <c r="G64" s="79"/>
      <c r="H64" s="11"/>
      <c r="I64" s="11" t="str">
        <f t="shared" si="40"/>
        <v/>
      </c>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row>
    <row r="65" spans="2:100" ht="30" customHeight="1" thickBot="1" x14ac:dyDescent="0.3">
      <c r="B65" s="75" t="s">
        <v>78</v>
      </c>
      <c r="C65" s="76"/>
      <c r="D65" s="77"/>
      <c r="E65" s="78"/>
      <c r="F65" s="79"/>
      <c r="G65" s="79"/>
      <c r="H65" s="11"/>
      <c r="I65" s="11" t="str">
        <f t="shared" si="40"/>
        <v/>
      </c>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row>
    <row r="66" spans="2:100" ht="30" customHeight="1" thickBot="1" x14ac:dyDescent="0.3">
      <c r="B66" s="15" t="s">
        <v>81</v>
      </c>
      <c r="C66" s="47"/>
      <c r="D66" s="30"/>
      <c r="E66" s="16"/>
      <c r="F66" s="55"/>
      <c r="G66" s="56"/>
      <c r="H66" s="11"/>
      <c r="I66" s="11" t="str">
        <f t="shared" si="40"/>
        <v/>
      </c>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row>
    <row r="67" spans="2:100" ht="30" customHeight="1" thickBot="1" x14ac:dyDescent="0.3">
      <c r="B67" s="80" t="s">
        <v>74</v>
      </c>
      <c r="C67" s="81"/>
      <c r="D67" s="30"/>
      <c r="E67" s="16"/>
      <c r="F67" s="82"/>
      <c r="G67" s="82"/>
      <c r="H67" s="11"/>
      <c r="I67" s="11" t="str">
        <f t="shared" si="40"/>
        <v/>
      </c>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row>
    <row r="68" spans="2:100" ht="30" customHeight="1" thickBot="1" x14ac:dyDescent="0.3">
      <c r="B68" s="80" t="s">
        <v>75</v>
      </c>
      <c r="C68" s="81"/>
      <c r="D68" s="30"/>
      <c r="E68" s="16"/>
      <c r="F68" s="82"/>
      <c r="G68" s="82"/>
      <c r="H68" s="11"/>
      <c r="I68" s="11" t="str">
        <f t="shared" si="40"/>
        <v/>
      </c>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row>
    <row r="69" spans="2:100" ht="30" customHeight="1" thickBot="1" x14ac:dyDescent="0.3">
      <c r="B69" s="80" t="s">
        <v>76</v>
      </c>
      <c r="C69" s="81"/>
      <c r="D69" s="30"/>
      <c r="E69" s="16"/>
      <c r="F69" s="82"/>
      <c r="G69" s="82"/>
      <c r="H69" s="11"/>
      <c r="I69" s="11" t="str">
        <f t="shared" si="40"/>
        <v/>
      </c>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row>
    <row r="70" spans="2:100" ht="30" customHeight="1" thickBot="1" x14ac:dyDescent="0.3">
      <c r="B70" s="80" t="s">
        <v>77</v>
      </c>
      <c r="C70" s="81"/>
      <c r="D70" s="30"/>
      <c r="E70" s="16"/>
      <c r="F70" s="82"/>
      <c r="G70" s="82"/>
      <c r="H70" s="11"/>
      <c r="I70" s="11" t="str">
        <f t="shared" si="40"/>
        <v/>
      </c>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row>
    <row r="71" spans="2:100" ht="30" customHeight="1" thickBot="1" x14ac:dyDescent="0.3">
      <c r="B71" s="80" t="s">
        <v>78</v>
      </c>
      <c r="C71" s="81"/>
      <c r="D71" s="30"/>
      <c r="E71" s="16"/>
      <c r="F71" s="82"/>
      <c r="G71" s="82"/>
      <c r="H71" s="11"/>
      <c r="I71" s="11" t="str">
        <f t="shared" si="40"/>
        <v/>
      </c>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row>
    <row r="72" spans="2:100" ht="30" customHeight="1" thickBot="1" x14ac:dyDescent="0.3">
      <c r="B72" s="33"/>
      <c r="C72" s="48"/>
      <c r="D72" s="31"/>
      <c r="E72" s="10"/>
      <c r="F72" s="57"/>
      <c r="G72" s="57"/>
      <c r="H72" s="11"/>
      <c r="I72" s="11" t="str">
        <f t="shared" si="40"/>
        <v/>
      </c>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row>
    <row r="73" spans="2:100" ht="30" customHeight="1" thickBot="1" x14ac:dyDescent="0.3">
      <c r="B73" s="17"/>
      <c r="C73" s="18"/>
      <c r="D73" s="18"/>
      <c r="E73" s="19"/>
      <c r="F73" s="58"/>
      <c r="G73" s="59"/>
      <c r="H73" s="20"/>
      <c r="I73" s="20" t="str">
        <f t="shared" si="40"/>
        <v/>
      </c>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row>
    <row r="74" spans="2:100" ht="30" customHeight="1" x14ac:dyDescent="0.25">
      <c r="H74" s="6"/>
    </row>
    <row r="75" spans="2:100" ht="30" customHeight="1" x14ac:dyDescent="0.25">
      <c r="D75" s="8"/>
      <c r="G75" s="26"/>
    </row>
    <row r="76" spans="2:100" ht="30" customHeight="1" x14ac:dyDescent="0.25">
      <c r="D76" s="9"/>
    </row>
  </sheetData>
  <mergeCells count="16">
    <mergeCell ref="D3:E3"/>
    <mergeCell ref="AZ4:BF4"/>
    <mergeCell ref="J4:P4"/>
    <mergeCell ref="D4:E4"/>
    <mergeCell ref="AL4:AR4"/>
    <mergeCell ref="BG4:BM4"/>
    <mergeCell ref="F3:G3"/>
    <mergeCell ref="X4:AD4"/>
    <mergeCell ref="AS4:AY4"/>
    <mergeCell ref="Q4:W4"/>
    <mergeCell ref="AE4:AK4"/>
    <mergeCell ref="BN4:BT4"/>
    <mergeCell ref="BU4:CA4"/>
    <mergeCell ref="CB4:CH4"/>
    <mergeCell ref="CI4:CO4"/>
    <mergeCell ref="CP4:CV4"/>
  </mergeCells>
  <conditionalFormatting sqref="E7:E73">
    <cfRule type="dataBar" priority="26">
      <dataBar>
        <cfvo type="num" val="0"/>
        <cfvo type="num" val="1"/>
        <color theme="0" tint="-0.249977111117893"/>
      </dataBar>
    </cfRule>
  </conditionalFormatting>
  <conditionalFormatting sqref="J5:CV73">
    <cfRule type="expression" dxfId="2" priority="45">
      <formula>AND(TODAY()&gt;=J$5,TODAY()&lt;K$5)</formula>
    </cfRule>
  </conditionalFormatting>
  <conditionalFormatting sqref="J7:CV73">
    <cfRule type="expression" dxfId="1" priority="39">
      <formula>AND(task_start&lt;=J$5,ROUNDDOWN((task_end-task_start+1)*task_progress,0)+task_start-1&gt;=J$5)</formula>
    </cfRule>
    <cfRule type="expression" dxfId="0" priority="40" stopIfTrue="1">
      <formula>AND(task_end&gt;=J$5,task_start&lt;K$5)</formula>
    </cfRule>
  </conditionalFormatting>
  <dataValidations count="1">
    <dataValidation type="whole" operator="greaterThanOrEqual" allowBlank="1" showInputMessage="1" promptTitle="Mostrar semana" prompt="Al cambiar este número, se desplazará la vista del diagrama de Gantt." sqref="F4" xr:uid="{00000000-0002-0000-0000-000000000000}">
      <formula1>1</formula1>
    </dataValidation>
  </dataValidations>
  <printOptions horizontalCentered="1"/>
  <pageMargins left="0.35" right="0.35" top="0.35" bottom="0.5" header="0.3" footer="0.3"/>
  <pageSetup paperSize="9" scale="51" fitToHeight="0" orientation="landscape"/>
  <headerFooter differentFirst="1" scaleWithDoc="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Pauu</dc:creator>
  <cp:keywords/>
  <dc:description/>
  <cp:lastModifiedBy>URRUTIA MOYA PAULINA A</cp:lastModifiedBy>
  <cp:revision/>
  <dcterms:created xsi:type="dcterms:W3CDTF">2021-12-14T20:18:50Z</dcterms:created>
  <dcterms:modified xsi:type="dcterms:W3CDTF">2026-05-25T23:06:30Z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0x0101009D5DA37301643443BC73501F1304164A</vt:lpwstr>
  </property>
</Properties>
</file>