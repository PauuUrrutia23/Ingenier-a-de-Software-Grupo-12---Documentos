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_Sprint" sheetId="1" r:id="rId4"/>
    <sheet state="visible" name="Burn_Up_Down" sheetId="2" r:id="rId5"/>
  </sheets>
  <definedNames>
    <definedName hidden="1" localSheetId="0" name="_xlnm._FilterDatabase">Seguimiento_Sprint!$A$3:$M$102</definedName>
  </definedNames>
  <calcPr/>
  <extLst>
    <ext uri="GoogleSheetsCustomDataVersion2">
      <go:sheetsCustomData xmlns:go="http://customooxmlschemas.google.com/" r:id="rId6" roundtripDataChecksum="Wv+C3Mjbodaxgs3pdFg/x7OeIEXtnpDWOw+JhW2nSdk="/>
    </ext>
  </extLst>
</workbook>
</file>

<file path=xl/sharedStrings.xml><?xml version="1.0" encoding="utf-8"?>
<sst xmlns="http://schemas.openxmlformats.org/spreadsheetml/2006/main" count="931" uniqueCount="296">
  <si>
    <t>Seguimiento Sprint:  Documento 0 e Incrementos 1, 2 y 3</t>
  </si>
  <si>
    <t>PILA DEL PRODUCTO</t>
  </si>
  <si>
    <t>SEGUIMIENTO</t>
  </si>
  <si>
    <t>PROYECTO</t>
  </si>
  <si>
    <t>Verificación</t>
  </si>
  <si>
    <t>Incremento</t>
  </si>
  <si>
    <t>Prioridad</t>
  </si>
  <si>
    <t>Categoría</t>
  </si>
  <si>
    <t>Tarea</t>
  </si>
  <si>
    <t>Responsable</t>
  </si>
  <si>
    <t>Estimar HH</t>
  </si>
  <si>
    <t>Registro Diario en Horas</t>
  </si>
  <si>
    <t>Inicio</t>
  </si>
  <si>
    <t>Fin</t>
  </si>
  <si>
    <t>HH Efectivas</t>
  </si>
  <si>
    <t>Revisión</t>
  </si>
  <si>
    <t>Estado</t>
  </si>
  <si>
    <t>Detalles</t>
  </si>
  <si>
    <t>Documento 0</t>
  </si>
  <si>
    <t>Iniciación</t>
  </si>
  <si>
    <t>Solicitud formal de la iniciativa por parte del grupo de trabajo</t>
  </si>
  <si>
    <t>Vicente Ortega Nobizelli</t>
  </si>
  <si>
    <t>24-03-2026  1 H</t>
  </si>
  <si>
    <t>OK</t>
  </si>
  <si>
    <t>Se formalizó ante el grupo de trabajo la solicitud de inicio de la iniciativa del proyecto. Entregable: acta de solicitud formal. Criterio de aceptación: iniciativa presentada y aceptada por todos los integrantes; evidencia: registro de acuerdo incorporado al Documento 0.</t>
  </si>
  <si>
    <t>Crear la visión del proyecto</t>
  </si>
  <si>
    <t>Todos</t>
  </si>
  <si>
    <t>25-03-2026  2 H</t>
  </si>
  <si>
    <t>Se redactó la visión general del proyecto, describiendo el propósito y el valor esperado para la organización. Entregable: declaración de visión del proyecto. Criterio de aceptación: visión clara, alineada con los objetivos de Ingecon; evidencia: sección incorporada al Documento 0.</t>
  </si>
  <si>
    <t>Identificación de roles dentro del equipo</t>
  </si>
  <si>
    <t>27-03-2026  1 H</t>
  </si>
  <si>
    <t>Se definieron y asignaron los roles y responsabilidades de cada integrante del equipo de trabajo. Entregable: matriz de roles y responsabilidades. Criterio de aceptación: roles asignados sin duplicidad y aceptados por el equipo; evidencia: tabla de roles incorporada al Documento 0.</t>
  </si>
  <si>
    <t>Planificación y Estimación</t>
  </si>
  <si>
    <t>Construir product backlog</t>
  </si>
  <si>
    <t>27-03-2026  1.5 H          30-03-2026  1.5 H          01-04-2026  1 H</t>
  </si>
  <si>
    <t>Se construyó el product backlog inicial del proyecto, priorizando las funcionalidades a desarrollar. Entregable: product backlog priorizado. Criterio de aceptación: ítems priorizados y estimados a nivel general; evidencia: backlog incorporado a la planificación del proyecto.</t>
  </si>
  <si>
    <t>Introducción</t>
  </si>
  <si>
    <t>Paulina Urrutia Moya</t>
  </si>
  <si>
    <t>21-03-2026  1 H          23-03-2026  1 H          25-03-2026  1 H</t>
  </si>
  <si>
    <t>Se redactó la introducción del Documento 0, presentando el propósito, alcance y estructura del informe. Entregable: sección de introducción. Criterio de aceptación: propósito y alcance del documento claramente expuestos; evidencia: sección integrada al Documento 0.</t>
  </si>
  <si>
    <t>Contexto</t>
  </si>
  <si>
    <t>Tomás Hurtado Silva</t>
  </si>
  <si>
    <t>Se describió el contexto organizacional de la empresa Ingecon, incluyendo su rubro, trayectoria y estructura. Entregable: sección de contexto de la organización. Criterio de aceptación: información general de la empresa completa y verificada; evidencia: sección integrada al Documento 0.</t>
  </si>
  <si>
    <t>Problema</t>
  </si>
  <si>
    <t>Benjamín Parraguez Aguirre</t>
  </si>
  <si>
    <t>28-03-2026  1 H          31-03-2026  1 H          03-04-2026  1 H</t>
  </si>
  <si>
    <t>Se identificó y describió la problemática que da origen al proyecto. Entregable: sección de descripción de la problemática. Criterio de aceptación: problemática claramente definida y justificada; evidencia: sección integrada al Documento 0.</t>
  </si>
  <si>
    <t>Objetivo General</t>
  </si>
  <si>
    <t>27-03-2026  1 H          05-04-2026  1 H</t>
  </si>
  <si>
    <t>Se redactó el objetivo general del proyecto en base a la problemática identificada. Entregable: objetivo general. Criterio de aceptación: objetivo medible y alineado con la problemática; evidencia: sección integrada al Documento 0.</t>
  </si>
  <si>
    <t>Objetivos Específicos</t>
  </si>
  <si>
    <t>28-03-2026  1 H          05-04-2026  1 H</t>
  </si>
  <si>
    <t>Se definieron los objetivos específicos derivados del objetivo general del proyecto. Entregable: listado de objetivos específicos. Criterio de aceptación: objetivos medibles y consistentes con el objetivo general; evidencia: sección integrada al Documento 0.</t>
  </si>
  <si>
    <t>Organigramas</t>
  </si>
  <si>
    <t>26-03-2026  1 H          01-04-2026  1 H</t>
  </si>
  <si>
    <t>Se elaboraron los organigramas de la empresa representando su estructura jerárquica y funcional. Entregable: organigramas de la organización. Criterio de aceptación: estructura organizacional representada correctamente; evidencia: diagramas incorporados al Documento 0.</t>
  </si>
  <si>
    <t>Levantamiento de Requerimientos</t>
  </si>
  <si>
    <t>Preparar la Entrevista del Usuario</t>
  </si>
  <si>
    <t>22-03-2026  1 H          23-03-2026  1 H</t>
  </si>
  <si>
    <t>Se prepararon las preguntas y la pauta de la entrevista a realizar al usuario/cliente. Entregable: pauta de entrevista. Criterio de aceptación: preguntas alineadas con los objetivos del levantamiento; evidencia: pauta utilizada en la primera entrevista.</t>
  </si>
  <si>
    <t>Análisis Externo</t>
  </si>
  <si>
    <t>PEST o PESTEL</t>
  </si>
  <si>
    <t>31-03-2026  1 H          02-04-2026  1 H          05-04-2026  1 H</t>
  </si>
  <si>
    <t>Se desarrolló el análisis PESTEL de factores políticos, económicos, sociales, tecnológicos, ecológicos y legales que afectan a la organización. Entregable: análisis PESTEL. Criterio de aceptación: factores externos identificados y justificados; evidencia: sección integrada al Documento 0.</t>
  </si>
  <si>
    <t>Primera Entrevista Usuario</t>
  </si>
  <si>
    <t>Vicente Ortega Nobizelli, Tomás Hurtado Silva, Benjamín Parraguez Aguirre</t>
  </si>
  <si>
    <t>24-03-2026  3 H</t>
  </si>
  <si>
    <t>Se realizó la primera entrevista con el usuario/cliente para levantar información inicial del negocio. Entregable: minuta de la primera entrevista. Criterio de aceptación: información relevante registrada y validada; evidencia: minuta incorporada al levantamiento de requerimientos.</t>
  </si>
  <si>
    <t>Análisis Interno-Externo</t>
  </si>
  <si>
    <t>Foda</t>
  </si>
  <si>
    <t>Se elaboró el análisis FODA identificando fortalezas, oportunidades, debilidades y amenazas de la organización. Entregable: matriz FODA. Criterio de aceptación: elementos identificados y respaldados con evidencia; evidencia: sección integrada al Documento 0.</t>
  </si>
  <si>
    <t>Análisis Interno</t>
  </si>
  <si>
    <t>Cadena de valor</t>
  </si>
  <si>
    <t>30-03-2026  1 H          01-04-2026  1 H</t>
  </si>
  <si>
    <t>Se construyó la cadena de valor de la organización identificando actividades primarias y de apoyo. Entregable: cadena de valor. Criterio de aceptación: actividades correctamente clasificadas; evidencia: diagrama incorporado al Documento 0.</t>
  </si>
  <si>
    <t>Planificación</t>
  </si>
  <si>
    <t>Sprint Planning</t>
  </si>
  <si>
    <t>31-03-2026  2 H</t>
  </si>
  <si>
    <t>Se realizó la reunión de Sprint Planning para organizar las tareas del desarrollo del Documento 0. Entregable: planificación del sprint. Criterio de aceptación: tareas, responsables y plazos definidos; evidencia: minuta de planificación. Nota: la carta Gantt registra para esta tarea una fecha de término (10-03-2026) anterior a la de inicio (31-03-2026), lo que corresponde a un error de digitación en el archivo original; se utilizó la fecha de inicio como fecha única de la tarea.</t>
  </si>
  <si>
    <t>Análisis Cualitativo</t>
  </si>
  <si>
    <t>Ishikawa</t>
  </si>
  <si>
    <t>Diego Carabajal Belmar</t>
  </si>
  <si>
    <t>22-03-2026  1 H          25-03-2026  1 H          27-03-2026  1 H</t>
  </si>
  <si>
    <t>Se elaboró el diagrama de Ishikawa para identificar las causas raíz de la problemática detectada. Entregable: diagrama de Ishikawa. Criterio de aceptación: causas identificadas y clasificadas coherentemente; evidencia: diagrama integrado al análisis cualitativo del Documento 0.</t>
  </si>
  <si>
    <t>Levantamiento de Procesos</t>
  </si>
  <si>
    <t>Levantamiento de Procesos (Bizagi)</t>
  </si>
  <si>
    <t>Diego Sepúlveda Solar, Vicente Ortega Nobizelli</t>
  </si>
  <si>
    <t>04-04-2026  1 H          06-04-2026  2 H</t>
  </si>
  <si>
    <t>Se modelaron en Bizagi los procesos generales de la organización (manufactura, ensamble, transporte y despacho). Entregable: diagramas de procesos en Bizagi. Criterio de aceptación: procesos modelados de forma completa y coherente con la operación real; evidencia: diagramas incorporados al Documento 0.</t>
  </si>
  <si>
    <t>Porter</t>
  </si>
  <si>
    <t>04-04-2026  1 H          05-04-2026  1 H</t>
  </si>
  <si>
    <t>Se desarrolló el análisis de las 5 fuerzas de Porter para evaluar la posición competitiva de la organización. Entregable: análisis de Porter. Criterio de aceptación: las cinco fuerzas analizadas y justificadas; evidencia: sección integrada al Documento 0.</t>
  </si>
  <si>
    <t>Análisis Cuantitativo</t>
  </si>
  <si>
    <t>Histograma</t>
  </si>
  <si>
    <t>06-04-2026  1 H</t>
  </si>
  <si>
    <t>Se construyó el histograma con datos cuantitativos relevantes de la organización para el análisis cuantitativo. Entregable: histograma. Criterio de aceptación: datos representados correctamente y con conclusiones asociadas; evidencia: gráfico incorporado al Documento 0.</t>
  </si>
  <si>
    <t>Requerimientos</t>
  </si>
  <si>
    <t>Levantar Requerimientos de Usuario</t>
  </si>
  <si>
    <t>Paulina Urrutia Moya, Tomás Hurtado Silva</t>
  </si>
  <si>
    <t>21-03-2026  2 H          31-03-2026  2 H          08-04-2026  2 H          15-04-2026  2 H</t>
  </si>
  <si>
    <t>Se relevaron los requerimientos del usuario a través de entrevistas y revisión documental, consolidando la información recabada. Entregable: listado preliminar de requerimientos. Criterio de aceptación: requerimientos identificados, redactados y validados con el cliente; evidencia: registro de requerimientos levantados.</t>
  </si>
  <si>
    <t>Envío de correo de aceptación de requisitos</t>
  </si>
  <si>
    <t>08-04-2026  1 H</t>
  </si>
  <si>
    <t>Se envió al cliente el correo formal de aceptación de los requisitos levantados. Entregable: correo de aceptación de requisitos. Criterio de aceptación: aceptación formal recibida por parte del cliente; evidencia: correo incorporado como respaldo del levantamiento.</t>
  </si>
  <si>
    <t>Pasar Requerimientos Funcionales a UR (estándar ESA)</t>
  </si>
  <si>
    <t>Tomás Hurtado Silva, Paulina Urrutia Moya</t>
  </si>
  <si>
    <t>17-03-2026  2 H          01-04-2026  2 H          17-04-2026  2 H</t>
  </si>
  <si>
    <t>Se estructuraron los requerimientos funcionales bajo el estándar ESA (User Requirements). Entregable: requerimientos funcionales en formato UR. Criterio de aceptación: requerimientos redactados según el estándar y trazables; evidencia: sección de requerimientos integrada al Documento 0.</t>
  </si>
  <si>
    <t>Casos de Uso</t>
  </si>
  <si>
    <t>Diagrama de casos de uso</t>
  </si>
  <si>
    <t>31-03-2026  1.5 H          10-04-2026  2 H          18-04-2026  1.5 H</t>
  </si>
  <si>
    <t>Se elaboró el diagrama de casos de uso general del sistema en base a los requerimientos levantados. Entregable: diagrama de casos de uso. Criterio de aceptación: actores y casos de uso correctamente representados; evidencia: diagrama incorporado al Documento 0.</t>
  </si>
  <si>
    <t>Casos de uso Extendido</t>
  </si>
  <si>
    <t>01-04-2026  2 H          08-04-2026  1.5 H          15-04-2026  1.5 H</t>
  </si>
  <si>
    <t>Se documentaron los casos de uso extendidos, describiendo flujo principal, flujos alternativos y precondiciones. Entregable: descripciones extendidas de casos de uso. Criterio de aceptación: casos de uso completos y trazables con los requerimientos; evidencia: sección integrada al Documento 0.</t>
  </si>
  <si>
    <t>Evaluación Económica</t>
  </si>
  <si>
    <t>Estimación de costos y beneficios</t>
  </si>
  <si>
    <t>11-04-2026  1.5 H          17-04-2026  1.5 H</t>
  </si>
  <si>
    <t>Se estimaron los costos y beneficios asociados al desarrollo del proyecto. Entregable: estimación de costos y beneficios. Criterio de aceptación: cifras justificadas y coherentes con el alcance definido; evidencia: sección integrada al Documento 0.</t>
  </si>
  <si>
    <t>Trazabilidad</t>
  </si>
  <si>
    <t>Matriz de requerimientos v/s casos de uso</t>
  </si>
  <si>
    <t>01-04-2026  1 H          18-04-2026  2 H</t>
  </si>
  <si>
    <t>Se elaboró la matriz de trazabilidad entre los requerimientos y los casos de uso definidos. Entregable: matriz de requerimientos vs casos de uso. Criterio de aceptación: todos los requerimientos asociados a al menos un caso de uso; evidencia: matriz incorporada al Documento 0.</t>
  </si>
  <si>
    <t>Cierre Documento 0</t>
  </si>
  <si>
    <t>Revisión del Documento 0</t>
  </si>
  <si>
    <t>Diego Sepúlveda Solar, Vicente Ortega Nobizelli, Diego Carabajal Belmar</t>
  </si>
  <si>
    <t>16-04-2026  2 H</t>
  </si>
  <si>
    <t>Se realizó la revisión integral del Documento 0 antes de su entrega. Entregable: informe de observaciones de revisión. Criterio de aceptación: observaciones registradas y priorizadas; evidencia: pauta de revisión del documento.</t>
  </si>
  <si>
    <t>Correcciones Documento 0</t>
  </si>
  <si>
    <t>16-04-2026  1 H          19-04-2026  2 H</t>
  </si>
  <si>
    <t>Se aplicaron las correcciones identificadas en la revisión del Documento 0. Entregable: Documento 0 corregido. Criterio de aceptación: observaciones resueltas en su totalidad; evidencia: documento actualizado con cambios trazables.</t>
  </si>
  <si>
    <t>Entregar el Documento 0</t>
  </si>
  <si>
    <t>19-04-2026  1 H</t>
  </si>
  <si>
    <t>Se realizó la entrega formal del Documento 0 al profesor guía. Entregable: Documento 0 entregado. Criterio de aceptación: documento entregado dentro del plazo establecido; evidencia: comprobante/registro de entrega.</t>
  </si>
  <si>
    <t>Preparación Presentación</t>
  </si>
  <si>
    <t>20-04-2026  1 H          21-04-2026  1 H</t>
  </si>
  <si>
    <t>Se preparó la presentación oral del Documento 0, incluyendo diapositivas y distribución de temas por integrante. Entregable: presentación preparada. Criterio de aceptación: contenido resumido y roles de exposición asignados; evidencia: material de presentación.</t>
  </si>
  <si>
    <t>Hacer la Presentación del Documento 0</t>
  </si>
  <si>
    <t>22-04-2026  1 H</t>
  </si>
  <si>
    <t>Se realizó la presentación oral del Documento 0 ante el profesor guía. Entregable: presentación realizada. Criterio de aceptación: exposición completa dentro del tiempo asignado; evidencia: registro/retroalimentación de la presentación.</t>
  </si>
  <si>
    <t>Incremento 1</t>
  </si>
  <si>
    <t>Base de Datos</t>
  </si>
  <si>
    <t>MERE</t>
  </si>
  <si>
    <t>10-05-2026  2 H          13-05-2026  2 H          19-05-2026  1 H</t>
  </si>
  <si>
    <t>Entregable: modelo entidad-relacion extendido y fundamentacion normalizada. Criterio de aceptacion: entidades, relaciones, cardinalidades y reglas de negocio coherentes con los requisitos; evidencia: diagrama revisado y observaciones resueltas.</t>
  </si>
  <si>
    <t>Modelo Físico</t>
  </si>
  <si>
    <t>19-05-2026  1 H</t>
  </si>
  <si>
    <t>Entregable: transformacion fisica de la base de datos. Criterio de aceptacion: tablas, claves primarias/foraneas, tipos de datos y restricciones alineadas al modelo relacional; evidencia: esquema documentado para implementacion.</t>
  </si>
  <si>
    <t>Modelo Relacional</t>
  </si>
  <si>
    <t>09-05-2026  1 H          20-05-2026  1 H</t>
  </si>
  <si>
    <t>Entregable: modelo relacional validado. Criterio de aceptacion: relaciones normalizadas, dependencias correctamente representadas y consistencia con MERE/FN; evidencia: tabla relacional revisada.</t>
  </si>
  <si>
    <t>Código PostgreSQL</t>
  </si>
  <si>
    <t>21-05-2026  1 H</t>
  </si>
  <si>
    <t>Entregable: script SQL de creacion y restricciones. Criterio de aceptacion: ejecucion sin errores, claves e integridad referencial configuradas; evidencia: script probado y pendiente de cierre funcional si aplica.</t>
  </si>
  <si>
    <t>Vistas 4 + 1</t>
  </si>
  <si>
    <t>D de Despliegue</t>
  </si>
  <si>
    <t>15-05-2026  1 H          17-05-2026  1 H</t>
  </si>
  <si>
    <t>Entregable: diagrama de despliegue. Criterio de aceptacion: nodos, artefactos, conexiones y ambiente de ejecucion identificados; evidencia: vista arquitectonica incorporada al informe.</t>
  </si>
  <si>
    <t>D de Secuencia</t>
  </si>
  <si>
    <t>10-05-2026  3 H          15-05-2026  3 H          22-05-2026  1 H</t>
  </si>
  <si>
    <t>Entregable: diagrama de secuencia. Criterio de aceptacion: actores, objetos, mensajes y flujo temporal consistentes con el caso de uso; evidencia: diagrama revisado e integrado.</t>
  </si>
  <si>
    <t>Bizagi</t>
  </si>
  <si>
    <t>Corrección diagramas</t>
  </si>
  <si>
    <t>17-05-2026  2 H          20-05-2026  1 H</t>
  </si>
  <si>
    <t>Entregable: diagramas Bizagi corregidos. Criterio de aceptacion: flujo BPMN legible, compuertas/eventos bien utilizados y consistencia con el proceso documentado; evidencia: version corregida anexada.</t>
  </si>
  <si>
    <t>Informe</t>
  </si>
  <si>
    <t>Corrección formato</t>
  </si>
  <si>
    <t>12-05-2026  2 H</t>
  </si>
  <si>
    <t>Entregable: informe con formato corregido. Criterio de aceptacion: portada, indices, estilos, numeracion, referencias y anexos homogeneos; evidencia: revision final sin inconsistencias visibles.</t>
  </si>
  <si>
    <t>D de Componentes</t>
  </si>
  <si>
    <t>17-05-2026  2 H</t>
  </si>
  <si>
    <t>Entregable: diagrama de componentes. Criterio de aceptacion: modulos, dependencias e interfaces del sistema representados de forma coherente; evidencia: vista 4+1 incorporada.</t>
  </si>
  <si>
    <t>Arquitectura</t>
  </si>
  <si>
    <t>Corrección de la Dimensión Técnica</t>
  </si>
  <si>
    <t>Entregable: descripcion de dimension tecnica. Criterio de aceptacion: tecnologias, arquitectura, base de datos y decisiones tecnicas justificadas; evidencia: seccion integrada al informe.</t>
  </si>
  <si>
    <t>Scrum Diario</t>
  </si>
  <si>
    <t>09-05-2026  0.5 H          16-05-2026  0.5 H          23-05-2026  0.5 H</t>
  </si>
  <si>
    <t>Entregable: registros de seguimiento diario. Criterio de aceptacion: avances, responsables, horas y acuerdos documentados; evidencia: bitacora actualizada para control del sprint.</t>
  </si>
  <si>
    <t>Carta Gantt</t>
  </si>
  <si>
    <t>Entregable: cronograma del sprint. Criterio de aceptacion: tareas, responsables, fechas, estados y avance visibles; evidencia: carta Gantt separada y coherente con el seguimiento.</t>
  </si>
  <si>
    <t>Desarrollo Web</t>
  </si>
  <si>
    <t>Programación</t>
  </si>
  <si>
    <t>23-05-2026  2 H          24-05-2026  2 H          25-05-2026  3 H</t>
  </si>
  <si>
    <t>Entregable: Código en github con la página web implementada incluido el video de demostración.</t>
  </si>
  <si>
    <t>23-05-2026  2 H          24-05-2026  3 H          25-05-2026  3 H</t>
  </si>
  <si>
    <t>Desarrollo Informe I1</t>
  </si>
  <si>
    <t>Entregable: secciones asignadas del Informe Incremento 1. Criterio de aceptacion: redaccion clara, evidencias insertadas, formato institucional aplicado y trazabilidad con tareas del sprint.</t>
  </si>
  <si>
    <t>23-05-2026  2 H          25-05-2026  2 H</t>
  </si>
  <si>
    <t>Diego Sepúlveda Solar</t>
  </si>
  <si>
    <t>Incremento 2</t>
  </si>
  <si>
    <t>Vista logica</t>
  </si>
  <si>
    <t>10-08-2026  1 H          11-08-2026  1 H</t>
  </si>
  <si>
    <t>Se modeló la vista lógica de la base de datos (entidades, atributos y relaciones). Entregable: modelo relacional validado. Criterio de aceptación: relaciones normalizadas, dependencias correctamente representadas y consistencia con MER/FN; evidencia: diagrama de vista lógica revisado e incorporado al informe.</t>
  </si>
  <si>
    <t>Código MySQL</t>
  </si>
  <si>
    <t>12-08-2026  1 H          13-08-2026  1 H</t>
  </si>
  <si>
    <t>Se generó y depuró el script SQL de creación de tablas, claves e integridad referencial. Entregable: script SQL de creación y restricciones. Criterio de aceptación: ejecución sin errores, claves e integridad referencial configuradas; evidencia: script probado en MySQL Workbench.</t>
  </si>
  <si>
    <t>13-08-2026  1 H          14-08-2026  1 H</t>
  </si>
  <si>
    <t>Se elaboró el diagrama de despliegue identificando nodos, artefactos y ambiente de ejecución. Entregable: diagrama de despliegue. Criterio de aceptación: nodos, artefactos, conexiones y ambiente de ejecución identificados; evidencia: vista arquitectónica incorporada al informe.</t>
  </si>
  <si>
    <t>10-08-2026  1.5 H          12-08-2026  1.5 H          14-08-2026  1 H</t>
  </si>
  <si>
    <t>Se construyó el diagrama de secuencia del caso de uso principal (actores, objetos y mensajes), verificando la consistencia del flujo temporal. Entregable: diagrama de secuencia. Criterio de aceptación: actores, objetos, mensajes y flujo temporal consistentes con el caso de uso; evidencia: diagrama revisado e integrado.</t>
  </si>
  <si>
    <t>Corrección formato informe</t>
  </si>
  <si>
    <t>Se corrigió el formato general del informe (portada, índices, estilos y numeración) aplicando la plantilla institucional. Entregable: informe con formato corregido. Criterio de aceptación: portada, índices, estilos, numeración, referencias y anexos homogéneos; evidencia: revisión final sin inconsistencias visibles.</t>
  </si>
  <si>
    <t>14-08-2026  1.5 H</t>
  </si>
  <si>
    <t>Se diseñó el diagrama de componentes representando módulos, dependencias e interfaces del sistema. Entregable: diagrama de componentes. Criterio de aceptación: módulos, dependencias e interfaces del sistema representados de forma coherente; evidencia: vista 4+1 incorporada.</t>
  </si>
  <si>
    <t>Documento</t>
  </si>
  <si>
    <t>Dimensión Técnica</t>
  </si>
  <si>
    <t>17-08-2026  1.5 H</t>
  </si>
  <si>
    <t>Se redactó la sección de dimensión técnica describiendo tecnologías, arquitectura y base de datos utilizadas. Entregable: descripción de dimensión técnica. Criterio de aceptación: tecnologías, arquitectura, base de datos y decisiones técnicas justificadas; evidencia: sección integrada al informe.</t>
  </si>
  <si>
    <t>10-08-2026  0.5 H          17-08-2026  0.5 H          24-08-2026  0.5 H          31-08-2026  0.5 H</t>
  </si>
  <si>
    <t>Se realizaron y documentaron las reuniones diarias Scrum del sprint, registrando avances, responsables y acuerdos de cada semana. Entregable: registros de seguimiento diario. Criterio de aceptación: avances, responsables, horas y acuerdos documentados; evidencia: bitácora actualizada para control del sprint.</t>
  </si>
  <si>
    <t>10-08-2026  0.5 H          24-08-2026  0.5 H          07-09-2026  0.5 H</t>
  </si>
  <si>
    <t>Se actualizó la carta Gantt del sprint reflejando tareas, responsables, fechas y porcentaje de avance a medida que evolucionó el proyecto. Entregable: cronograma del sprint. Criterio de aceptación: tareas, responsables, fechas, estados y avance visibles; evidencia: carta Gantt separada y coherente con el seguimiento.</t>
  </si>
  <si>
    <t>18-08-2026  2 H          19-08-2026  2 H          20-08-2026  2 H</t>
  </si>
  <si>
    <t>Se implementaron las vistas y controladores del módulo público del sitio (Laravel/Blade). Entregable: código en GitHub con la página web implementada, incluido el video de demostración.</t>
  </si>
  <si>
    <t>Se desarrollaron los modelos Eloquent y las migraciones de la base de datos. Entregable: código en GitHub con la página web implementada, incluido el video de demostración.</t>
  </si>
  <si>
    <t>Correciones puntuales Informe incremento 2</t>
  </si>
  <si>
    <t>24-08-2026  1.5 H          25-08-2026  1 H</t>
  </si>
  <si>
    <t>Se revisaron y corrigieron observaciones puntuales del Informe del Incremento 2 (redacción, formato y consistencia de contenidos). Entregable: informe con correcciones puntuales aplicadas. Criterio de aceptación: observaciones resueltas y contenido coherente con las secciones previas; evidencia: informe actualizado con cambios trazables.</t>
  </si>
  <si>
    <t>Requerimientos Informe</t>
  </si>
  <si>
    <t>24-08-2026  1 H          25-08-2026  1 H</t>
  </si>
  <si>
    <t>Se redactó y ordenó la sección de requerimientos funcionales y no funcionales del informe. Entregable: sección de requerimientos del informe. Criterio de aceptación: requerimientos clasificados, numerados y trazables con los casos de uso; evidencia: sección integrada al informe.</t>
  </si>
  <si>
    <t>Casos de uso</t>
  </si>
  <si>
    <t>26-08-2026  1.5 H          27-08-2026  1 H</t>
  </si>
  <si>
    <t>Se documentaron y describieron los casos de uso del sistema (flujo principal, alternativo y precondiciones). Entregable: sección de casos de uso del informe. Criterio de aceptación: casos de uso completos, numerados y alineados con los requerimientos; evidencia: sección integrada al informe.</t>
  </si>
  <si>
    <t>Correción Requerimientos</t>
  </si>
  <si>
    <t>28-08-2026  2 H</t>
  </si>
  <si>
    <t>Se revisó en equipo la sección de requerimientos para corregir duplicidades y ajustar la trazabilidad con los casos de uso. Entregable: sección de requerimientos corregida. Criterio de aceptación: sin duplicidades, numeración consistente y trazabilidad validada; evidencia: sección revisada por el equipo completo.</t>
  </si>
  <si>
    <t>Diagrama de secuencia informe</t>
  </si>
  <si>
    <t>28-08-2026  1 H          31-08-2026  1 H</t>
  </si>
  <si>
    <t>Se incorporó y ajustó el diagrama de secuencia dentro del informe, verificando la correspondencia entre el diagrama y la descripción textual del caso de uso. Entregable: diagrama de secuencia incorporado al informe. Criterio de aceptación: diagrama legible, consistente con el caso de uso y correctamente referenciado; evidencia: sección del informe actualizada.</t>
  </si>
  <si>
    <t>PPT</t>
  </si>
  <si>
    <t>07-09-2026  1.5 H          08-09-2026  1 H</t>
  </si>
  <si>
    <t>Se elaboró la presentación PowerPoint de cierre del Incremento 2, resumiendo objetivos, avances y evidencias del sprint. Entregable: presentación PPT del incremento. Criterio de aceptación: contenido resumido, alineado con el informe y con diseño homogéneo; evidencia: archivo PPT final revisado.</t>
  </si>
  <si>
    <t>casos de prueba informe</t>
  </si>
  <si>
    <t>01-09-2026  1.5 H          02-09-2026  1 H</t>
  </si>
  <si>
    <t>Se diseñaron y documentaron los casos de prueba funcionales del sistema (entradas, pasos y resultados esperados). Entregable: sección de casos de prueba del informe. Criterio de aceptación: casos de prueba trazables con los requerimientos y con resultados esperados definidos; evidencia: sección integrada al informe.</t>
  </si>
  <si>
    <t>Arbol de navegacion  informe</t>
  </si>
  <si>
    <t>01-09-2026  1 H          02-09-2026  1 H</t>
  </si>
  <si>
    <t>Se construyó el árbol de navegación del sitio web público, representando la jerarquía de páginas y accesos. Entregable: árbol de navegación incorporado al informe. Criterio de aceptación: jerarquía de páginas completa y coherente con la navegación real del sitio; evidencia: diagrama integrado al informe.</t>
  </si>
  <si>
    <t>Revisión y correción de trazabilidad de informes</t>
  </si>
  <si>
    <t>03-09-2026  1 H          04-09-2026  1 H</t>
  </si>
  <si>
    <t>Se revisó la trazabilidad entre requerimientos, casos de uso y casos de prueba del informe, corrigiendo referencias cruzadas incompletas. Entregable: matriz de trazabilidad revisada. Criterio de aceptación: referencias cruzadas completas y sin inconsistencias; evidencia: informe actualizado con trazabilidad validada.</t>
  </si>
  <si>
    <t>Se apoyó la revisión de trazabilidad verificando que cada caso de uso contara con sus casos de prueba asociados. Entregable: matriz de trazabilidad revisada. Criterio de aceptación: cobertura completa entre casos de uso y casos de prueba; evidencia: informe actualizado con trazabilidad validada.</t>
  </si>
  <si>
    <t>Revisión y correción de pagina web</t>
  </si>
  <si>
    <t>04-09-2026  1.5 H          07-09-2026  1 H</t>
  </si>
  <si>
    <t>Se revisaron y corrigieron errores visuales y de funcionamiento en el sitio web (enlaces, formularios y responsividad). Entregable: sitio web corregido y verificado. Criterio de aceptación: navegación, formularios y visualización funcionando correctamente en distintos dispositivos; evidencia: pruebas manuales registradas y video de verificación.</t>
  </si>
  <si>
    <t>04-09-2026  1 H          07-09-2026  1 H</t>
  </si>
  <si>
    <t>Se verificó el contenido publicado en el sitio web (textos, imágenes y certificaciones) contrastándolo con el informe. Entregable: contenido del sitio web verificado. Criterio de aceptación: contenido correcto, actualizado y sin errores de redacción; evidencia: revisión final registrada.</t>
  </si>
  <si>
    <t>Matriz RF vs CUS</t>
  </si>
  <si>
    <t>07-09-2026  1 H          08-09-2026  1 H</t>
  </si>
  <si>
    <t>Se elaboró la matriz de trazabilidad entre requerimientos funcionales y casos de uso del sistema. Entregable: matriz RF vs CUS. Criterio de aceptación: todos los requerimientos funcionales asociados a al menos un caso de uso, sin duplicidades; evidencia: matriz incorporada al informe.</t>
  </si>
  <si>
    <t>Organización general trabajo</t>
  </si>
  <si>
    <t>09-09-2026  1 H          10-09-2026  1 H</t>
  </si>
  <si>
    <t>Se coordinó la organización final del equipo, consolidando entregables, asignando revisiones cruzadas y verificando el cumplimiento del cronograma antes de la entrega del Incremento 2. Entregable: cierre organizativo del sprint. Criterio de aceptación: todos los entregables consolidados, revisados y entregados dentro del plazo; evidencia: checklist de cierre y carta Gantt final actualizada.</t>
  </si>
  <si>
    <t>Incremento 3</t>
  </si>
  <si>
    <t>16-09-2026  1 H          17-09-2026  1 H</t>
  </si>
  <si>
    <t>17-09-2026  1 H          21-09-2026  1 H</t>
  </si>
  <si>
    <t>16-09-2026  1.5 H          17-09-2026  1.5 H          21-09-2026  1 H</t>
  </si>
  <si>
    <t>17-09-2026  1 H          21-09-2026  1.5 H</t>
  </si>
  <si>
    <t>21-09-2026  1.5 H</t>
  </si>
  <si>
    <t>22-09-2026  1.5 H</t>
  </si>
  <si>
    <t>16-09-2026  0.5 H          21-09-2026  0.5 H          28-09-2026  0.5 H          02-10-2026  0.5 H</t>
  </si>
  <si>
    <t>16-09-2026  0.5 H          28-09-2026  0.5 H          02-10-2026  0.5 H</t>
  </si>
  <si>
    <t>22-09-2026  2 H          23-09-2026  2 H          24-09-2026  2 H</t>
  </si>
  <si>
    <t>Correciones puntuales Informe incremento 3</t>
  </si>
  <si>
    <t>24-09-2026  1.5 H          25-09-2026  1 H</t>
  </si>
  <si>
    <t>Se revisaron y corrigieron observaciones puntuales del Informe del Incremento 3 (redacción, formato y consistencia de contenidos). Entregable: informe con correcciones puntuales aplicadas. Criterio de aceptación: observaciones resueltas y contenido coherente con las secciones previas; evidencia: informe actualizado con cambios trazables.</t>
  </si>
  <si>
    <t>22-09-2026  1 H          23-09-2026  1 H</t>
  </si>
  <si>
    <t>25-09-2026  1.5 H          28-09-2026  1 H</t>
  </si>
  <si>
    <t>29-09-2026  2 H</t>
  </si>
  <si>
    <t>01-10-2026  1.5 H          02-10-2026  1 H</t>
  </si>
  <si>
    <t>Se elaboró la presentación PowerPoint de cierre del Incremento 3, resumiendo objetivos, avances y evidencias del sprint. Entregable: presentación PPT del incremento. Criterio de aceptación: contenido resumido, alineado con el informe y con diseño homogéneo; evidencia: archivo PPT final revisado.</t>
  </si>
  <si>
    <t>28-09-2026  1.5 H          29-09-2026  1 H</t>
  </si>
  <si>
    <t>25-09-2026  1 H          28-09-2026  1 H</t>
  </si>
  <si>
    <t>29-09-2026  1 H          30-09-2026  1 H</t>
  </si>
  <si>
    <t>30-09-2026  1 H          01-10-2026  1 H</t>
  </si>
  <si>
    <t>01-10-2026  1 H          02-10-2026  1 H</t>
  </si>
  <si>
    <t>Se coordinó la organización final del equipo, consolidando entregables, asignando revisiones cruzadas y verificando el cumplimiento del cronograma antes de la entrega del Incremento 3. Entregable: cierre organizativo del sprint. Criterio de aceptación: todos los entregables consolidados, revisados y entregados dentro del plazo; evidencia: checklist de cierre y carta Gantt final actualizada.</t>
  </si>
  <si>
    <t>Total</t>
  </si>
  <si>
    <t>Burn-Up / Burn-Down Acumulado: Documento 0, Incrementos 1, 2 y 3</t>
  </si>
  <si>
    <t>Etapa</t>
  </si>
  <si>
    <t>Día (etapa)</t>
  </si>
  <si>
    <t>Día Global</t>
  </si>
  <si>
    <t>Fecha</t>
  </si>
  <si>
    <t>HH Estimada (día)</t>
  </si>
  <si>
    <t>HH Efectiva (día)</t>
  </si>
  <si>
    <t>HH Estimada (acum.)</t>
  </si>
  <si>
    <t>HH Efectiva (acum.)</t>
  </si>
  <si>
    <t>Remanente Estimada</t>
  </si>
  <si>
    <t>Remanente Efectiva</t>
  </si>
  <si>
    <t>Alcance (Estimar HH) por etapa</t>
  </si>
  <si>
    <t>Total Estimar HH — Documento 0</t>
  </si>
  <si>
    <t>Total Estimar HH — Incremento 1</t>
  </si>
  <si>
    <t>Total Estimar HH — Incremento 2</t>
  </si>
  <si>
    <t>Total Estimar HH — Incremento 3</t>
  </si>
  <si>
    <t>Total Estimar HH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</si>
</sst>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9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/>
    <font>
      <sz val="11.0"/>
      <color theme="1"/>
      <name val="Calibri"/>
    </font>
    <font>
      <b/>
      <sz val="16.0"/>
      <color theme="1"/>
      <name val="Calibri"/>
    </font>
    <font>
      <i/>
      <sz val="10.0"/>
      <color theme="1"/>
      <name val="Calibri"/>
    </font>
    <font>
      <sz val="11.0"/>
      <color rgb="FF0000FF"/>
      <name val="Calibri"/>
    </font>
    <font>
      <sz val="11.0"/>
      <color rgb="FF008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CCC0D9"/>
        <bgColor rgb="FFCCC0D9"/>
      </patternFill>
    </fill>
    <fill>
      <patternFill patternType="solid">
        <fgColor rgb="FFDAEEF3"/>
        <bgColor rgb="FFDAEEF3"/>
      </patternFill>
    </fill>
    <fill>
      <patternFill patternType="solid">
        <fgColor rgb="FFFCE4D6"/>
        <bgColor rgb="FFFCE4D6"/>
      </patternFill>
    </fill>
    <fill>
      <patternFill patternType="solid">
        <fgColor rgb="FFD6E3BC"/>
        <bgColor rgb="FFD6E3B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4" fillId="6" fontId="2" numFmtId="0" xfId="0" applyAlignment="1" applyBorder="1" applyFill="1" applyFont="1">
      <alignment horizontal="center" shrinkToFit="0" vertical="center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8" fontId="4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4" fillId="11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horizontal="left" shrinkToFit="0" vertical="center" wrapText="1"/>
    </xf>
    <xf borderId="0" fillId="0" fontId="2" numFmtId="0" xfId="0" applyFont="1"/>
    <xf borderId="4" fillId="0" fontId="7" numFmtId="2" xfId="0" applyAlignment="1" applyBorder="1" applyFont="1" applyNumberFormat="1">
      <alignment horizontal="center" shrinkToFit="0" vertical="center" wrapText="1"/>
    </xf>
    <xf borderId="4" fillId="0" fontId="4" numFmtId="2" xfId="0" applyAlignment="1" applyBorder="1" applyFont="1" applyNumberFormat="1">
      <alignment horizontal="center" shrinkToFit="0" vertical="center" wrapText="1"/>
    </xf>
    <xf borderId="0" fillId="0" fontId="4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Burn-Up Incremento 3 (HH acumuladas)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HH Estimada (acum.)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Burn_Up_Down!$C$5:$C$107</c:f>
            </c:strRef>
          </c:cat>
          <c:val>
            <c:numRef>
              <c:f>Burn_Up_Down!$G$5:$G$107</c:f>
              <c:numCache/>
            </c:numRef>
          </c:val>
          <c:smooth val="1"/>
        </c:ser>
        <c:ser>
          <c:idx val="1"/>
          <c:order val="1"/>
          <c:tx>
            <c:v>HH Efectiva (acum.)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Burn_Up_Down!$C$5:$C$107</c:f>
            </c:strRef>
          </c:cat>
          <c:val>
            <c:numRef>
              <c:f>Burn_Up_Down!$H$5:$H$107</c:f>
              <c:numCache/>
            </c:numRef>
          </c:val>
          <c:smooth val="1"/>
        </c:ser>
        <c:axId val="1110993445"/>
        <c:axId val="939646360"/>
      </c:lineChart>
      <c:catAx>
        <c:axId val="1110993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Global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39646360"/>
      </c:catAx>
      <c:valAx>
        <c:axId val="939646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Horas-hombre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099344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Burn-Down Incremento 3 (HH remanentes)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Remanente Estimada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Burn_Up_Down!$C$5:$C$107</c:f>
            </c:strRef>
          </c:cat>
          <c:val>
            <c:numRef>
              <c:f>Burn_Up_Down!$I$5:$I$107</c:f>
              <c:numCache/>
            </c:numRef>
          </c:val>
          <c:smooth val="1"/>
        </c:ser>
        <c:ser>
          <c:idx val="1"/>
          <c:order val="1"/>
          <c:tx>
            <c:v>Remanente Efectiva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Burn_Up_Down!$C$5:$C$107</c:f>
            </c:strRef>
          </c:cat>
          <c:val>
            <c:numRef>
              <c:f>Burn_Up_Down!$J$5:$J$107</c:f>
              <c:numCache/>
            </c:numRef>
          </c:val>
          <c:smooth val="1"/>
        </c:ser>
        <c:axId val="631807252"/>
        <c:axId val="433779526"/>
      </c:lineChart>
      <c:catAx>
        <c:axId val="631807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Día Global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3779526"/>
      </c:catAx>
      <c:valAx>
        <c:axId val="433779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Horas-hombre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318072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8</xdr:row>
      <xdr:rowOff>142875</xdr:rowOff>
    </xdr:from>
    <xdr:ext cx="5810250" cy="3209925"/>
    <xdr:graphicFrame>
      <xdr:nvGraphicFramePr>
        <xdr:cNvPr id="43765767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27</xdr:row>
      <xdr:rowOff>142875</xdr:rowOff>
    </xdr:from>
    <xdr:ext cx="5810250" cy="3209925"/>
    <xdr:graphicFrame>
      <xdr:nvGraphicFramePr>
        <xdr:cNvPr id="1723612330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0.0"/>
    <col customWidth="1" min="4" max="4" width="30.0"/>
    <col customWidth="1" min="5" max="5" width="26.0"/>
    <col customWidth="1" min="6" max="6" width="11.0"/>
    <col customWidth="1" min="7" max="7" width="34.0"/>
    <col customWidth="1" min="8" max="10" width="12.0"/>
    <col customWidth="1" min="11" max="11" width="24.0"/>
    <col customWidth="1" min="12" max="12" width="11.0"/>
    <col customWidth="1" min="13" max="13" width="70.0"/>
    <col customWidth="1" min="14" max="26" width="8.71"/>
  </cols>
  <sheetData>
    <row r="1" ht="36.0" customHeight="1">
      <c r="A1" s="1" t="s">
        <v>0</v>
      </c>
    </row>
    <row r="2" ht="15.0" customHeight="1">
      <c r="A2" s="2" t="s">
        <v>1</v>
      </c>
      <c r="B2" s="3"/>
      <c r="C2" s="3"/>
      <c r="D2" s="3"/>
      <c r="E2" s="3"/>
      <c r="F2" s="4"/>
      <c r="G2" s="5" t="s">
        <v>2</v>
      </c>
      <c r="H2" s="6" t="s">
        <v>3</v>
      </c>
      <c r="I2" s="3"/>
      <c r="J2" s="4"/>
      <c r="K2" s="7" t="s">
        <v>4</v>
      </c>
      <c r="L2" s="3"/>
      <c r="M2" s="4"/>
    </row>
    <row r="3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</row>
    <row r="4" ht="63.75" customHeight="1">
      <c r="A4" s="9" t="s">
        <v>18</v>
      </c>
      <c r="B4" s="10">
        <v>1.0</v>
      </c>
      <c r="C4" s="10" t="s">
        <v>19</v>
      </c>
      <c r="D4" s="10" t="s">
        <v>20</v>
      </c>
      <c r="E4" s="10" t="s">
        <v>21</v>
      </c>
      <c r="F4" s="10">
        <v>1.0</v>
      </c>
      <c r="G4" s="11" t="s">
        <v>22</v>
      </c>
      <c r="H4" s="12">
        <v>46105.0</v>
      </c>
      <c r="I4" s="12">
        <v>46105.0</v>
      </c>
      <c r="J4" s="10">
        <v>1.0</v>
      </c>
      <c r="K4" s="10" t="s">
        <v>21</v>
      </c>
      <c r="L4" s="13" t="s">
        <v>23</v>
      </c>
      <c r="M4" s="11" t="s">
        <v>24</v>
      </c>
    </row>
    <row r="5" ht="63.75" customHeight="1">
      <c r="A5" s="9" t="s">
        <v>18</v>
      </c>
      <c r="B5" s="10">
        <v>1.0</v>
      </c>
      <c r="C5" s="10" t="s">
        <v>19</v>
      </c>
      <c r="D5" s="10" t="s">
        <v>25</v>
      </c>
      <c r="E5" s="10" t="s">
        <v>26</v>
      </c>
      <c r="F5" s="10">
        <v>2.0</v>
      </c>
      <c r="G5" s="11" t="s">
        <v>27</v>
      </c>
      <c r="H5" s="12">
        <v>46106.0</v>
      </c>
      <c r="I5" s="12">
        <v>46106.0</v>
      </c>
      <c r="J5" s="10">
        <v>2.0</v>
      </c>
      <c r="K5" s="10" t="s">
        <v>21</v>
      </c>
      <c r="L5" s="13" t="s">
        <v>23</v>
      </c>
      <c r="M5" s="11" t="s">
        <v>28</v>
      </c>
    </row>
    <row r="6" ht="63.75" customHeight="1">
      <c r="A6" s="9" t="s">
        <v>18</v>
      </c>
      <c r="B6" s="10">
        <v>1.0</v>
      </c>
      <c r="C6" s="10" t="s">
        <v>19</v>
      </c>
      <c r="D6" s="10" t="s">
        <v>29</v>
      </c>
      <c r="E6" s="10" t="s">
        <v>26</v>
      </c>
      <c r="F6" s="10">
        <v>1.0</v>
      </c>
      <c r="G6" s="11" t="s">
        <v>30</v>
      </c>
      <c r="H6" s="12">
        <v>46108.0</v>
      </c>
      <c r="I6" s="12">
        <v>46108.0</v>
      </c>
      <c r="J6" s="10">
        <v>1.0</v>
      </c>
      <c r="K6" s="10" t="s">
        <v>21</v>
      </c>
      <c r="L6" s="13" t="s">
        <v>23</v>
      </c>
      <c r="M6" s="11" t="s">
        <v>31</v>
      </c>
    </row>
    <row r="7" ht="63.75" customHeight="1">
      <c r="A7" s="9" t="s">
        <v>18</v>
      </c>
      <c r="B7" s="10">
        <v>1.0</v>
      </c>
      <c r="C7" s="10" t="s">
        <v>32</v>
      </c>
      <c r="D7" s="10" t="s">
        <v>33</v>
      </c>
      <c r="E7" s="10" t="s">
        <v>26</v>
      </c>
      <c r="F7" s="10">
        <v>4.0</v>
      </c>
      <c r="G7" s="11" t="s">
        <v>34</v>
      </c>
      <c r="H7" s="12">
        <v>46108.0</v>
      </c>
      <c r="I7" s="12">
        <v>46113.0</v>
      </c>
      <c r="J7" s="10">
        <v>4.0</v>
      </c>
      <c r="K7" s="10" t="s">
        <v>21</v>
      </c>
      <c r="L7" s="13" t="s">
        <v>23</v>
      </c>
      <c r="M7" s="11" t="s">
        <v>35</v>
      </c>
    </row>
    <row r="8" ht="63.75" customHeight="1">
      <c r="A8" s="9" t="s">
        <v>18</v>
      </c>
      <c r="B8" s="10">
        <v>1.0</v>
      </c>
      <c r="C8" s="10" t="s">
        <v>18</v>
      </c>
      <c r="D8" s="10" t="s">
        <v>36</v>
      </c>
      <c r="E8" s="10" t="s">
        <v>37</v>
      </c>
      <c r="F8" s="10">
        <v>3.0</v>
      </c>
      <c r="G8" s="11" t="s">
        <v>38</v>
      </c>
      <c r="H8" s="12">
        <v>46102.0</v>
      </c>
      <c r="I8" s="12">
        <v>46106.0</v>
      </c>
      <c r="J8" s="10">
        <v>3.0</v>
      </c>
      <c r="K8" s="10" t="s">
        <v>21</v>
      </c>
      <c r="L8" s="13" t="s">
        <v>23</v>
      </c>
      <c r="M8" s="11" t="s">
        <v>39</v>
      </c>
    </row>
    <row r="9" ht="63.75" customHeight="1">
      <c r="A9" s="9" t="s">
        <v>18</v>
      </c>
      <c r="B9" s="10">
        <v>1.0</v>
      </c>
      <c r="C9" s="10" t="s">
        <v>18</v>
      </c>
      <c r="D9" s="10" t="s">
        <v>40</v>
      </c>
      <c r="E9" s="10" t="s">
        <v>41</v>
      </c>
      <c r="F9" s="10">
        <v>3.0</v>
      </c>
      <c r="G9" s="11" t="s">
        <v>38</v>
      </c>
      <c r="H9" s="12">
        <v>46102.0</v>
      </c>
      <c r="I9" s="12">
        <v>46106.0</v>
      </c>
      <c r="J9" s="10">
        <v>3.0</v>
      </c>
      <c r="K9" s="10" t="s">
        <v>21</v>
      </c>
      <c r="L9" s="13" t="s">
        <v>23</v>
      </c>
      <c r="M9" s="11" t="s">
        <v>42</v>
      </c>
    </row>
    <row r="10" ht="63.75" customHeight="1">
      <c r="A10" s="9" t="s">
        <v>18</v>
      </c>
      <c r="B10" s="10">
        <v>1.0</v>
      </c>
      <c r="C10" s="10" t="s">
        <v>18</v>
      </c>
      <c r="D10" s="10" t="s">
        <v>43</v>
      </c>
      <c r="E10" s="10" t="s">
        <v>44</v>
      </c>
      <c r="F10" s="10">
        <v>3.0</v>
      </c>
      <c r="G10" s="11" t="s">
        <v>45</v>
      </c>
      <c r="H10" s="12">
        <v>46109.0</v>
      </c>
      <c r="I10" s="12">
        <v>46115.0</v>
      </c>
      <c r="J10" s="10">
        <v>3.0</v>
      </c>
      <c r="K10" s="10" t="s">
        <v>21</v>
      </c>
      <c r="L10" s="13" t="s">
        <v>23</v>
      </c>
      <c r="M10" s="11" t="s">
        <v>46</v>
      </c>
    </row>
    <row r="11" ht="48.75" customHeight="1">
      <c r="A11" s="9" t="s">
        <v>18</v>
      </c>
      <c r="B11" s="10">
        <v>1.0</v>
      </c>
      <c r="C11" s="10" t="s">
        <v>18</v>
      </c>
      <c r="D11" s="10" t="s">
        <v>47</v>
      </c>
      <c r="E11" s="10" t="s">
        <v>37</v>
      </c>
      <c r="F11" s="10">
        <v>2.0</v>
      </c>
      <c r="G11" s="11" t="s">
        <v>48</v>
      </c>
      <c r="H11" s="12">
        <v>46108.0</v>
      </c>
      <c r="I11" s="12">
        <v>46117.0</v>
      </c>
      <c r="J11" s="10">
        <v>2.0</v>
      </c>
      <c r="K11" s="10" t="s">
        <v>21</v>
      </c>
      <c r="L11" s="13" t="s">
        <v>23</v>
      </c>
      <c r="M11" s="11" t="s">
        <v>49</v>
      </c>
    </row>
    <row r="12" ht="63.75" customHeight="1">
      <c r="A12" s="9" t="s">
        <v>18</v>
      </c>
      <c r="B12" s="10">
        <v>1.0</v>
      </c>
      <c r="C12" s="10" t="s">
        <v>18</v>
      </c>
      <c r="D12" s="10" t="s">
        <v>50</v>
      </c>
      <c r="E12" s="10" t="s">
        <v>37</v>
      </c>
      <c r="F12" s="10">
        <v>2.0</v>
      </c>
      <c r="G12" s="11" t="s">
        <v>51</v>
      </c>
      <c r="H12" s="12">
        <v>46109.0</v>
      </c>
      <c r="I12" s="12">
        <v>46117.0</v>
      </c>
      <c r="J12" s="10">
        <v>2.0</v>
      </c>
      <c r="K12" s="10" t="s">
        <v>21</v>
      </c>
      <c r="L12" s="13" t="s">
        <v>23</v>
      </c>
      <c r="M12" s="11" t="s">
        <v>52</v>
      </c>
    </row>
    <row r="13" ht="63.75" customHeight="1">
      <c r="A13" s="9" t="s">
        <v>18</v>
      </c>
      <c r="B13" s="10">
        <v>1.0</v>
      </c>
      <c r="C13" s="10" t="s">
        <v>18</v>
      </c>
      <c r="D13" s="10" t="s">
        <v>53</v>
      </c>
      <c r="E13" s="10" t="s">
        <v>44</v>
      </c>
      <c r="F13" s="10">
        <v>2.0</v>
      </c>
      <c r="G13" s="11" t="s">
        <v>54</v>
      </c>
      <c r="H13" s="12">
        <v>46107.0</v>
      </c>
      <c r="I13" s="12">
        <v>46113.0</v>
      </c>
      <c r="J13" s="10">
        <v>2.0</v>
      </c>
      <c r="K13" s="10" t="s">
        <v>21</v>
      </c>
      <c r="L13" s="13" t="s">
        <v>23</v>
      </c>
      <c r="M13" s="11" t="s">
        <v>55</v>
      </c>
    </row>
    <row r="14" ht="63.75" customHeight="1">
      <c r="A14" s="9" t="s">
        <v>18</v>
      </c>
      <c r="B14" s="10">
        <v>1.0</v>
      </c>
      <c r="C14" s="10" t="s">
        <v>56</v>
      </c>
      <c r="D14" s="10" t="s">
        <v>57</v>
      </c>
      <c r="E14" s="10" t="s">
        <v>26</v>
      </c>
      <c r="F14" s="10">
        <v>2.0</v>
      </c>
      <c r="G14" s="11" t="s">
        <v>58</v>
      </c>
      <c r="H14" s="12">
        <v>46103.0</v>
      </c>
      <c r="I14" s="12">
        <v>46104.0</v>
      </c>
      <c r="J14" s="10">
        <v>2.0</v>
      </c>
      <c r="K14" s="10" t="s">
        <v>21</v>
      </c>
      <c r="L14" s="13" t="s">
        <v>23</v>
      </c>
      <c r="M14" s="11" t="s">
        <v>59</v>
      </c>
    </row>
    <row r="15" ht="63.75" customHeight="1">
      <c r="A15" s="9" t="s">
        <v>18</v>
      </c>
      <c r="B15" s="10">
        <v>1.0</v>
      </c>
      <c r="C15" s="10" t="s">
        <v>60</v>
      </c>
      <c r="D15" s="10" t="s">
        <v>61</v>
      </c>
      <c r="E15" s="10" t="s">
        <v>41</v>
      </c>
      <c r="F15" s="10">
        <v>3.0</v>
      </c>
      <c r="G15" s="11" t="s">
        <v>62</v>
      </c>
      <c r="H15" s="12">
        <v>46112.0</v>
      </c>
      <c r="I15" s="12">
        <v>46117.0</v>
      </c>
      <c r="J15" s="10">
        <v>3.0</v>
      </c>
      <c r="K15" s="10" t="s">
        <v>21</v>
      </c>
      <c r="L15" s="13" t="s">
        <v>23</v>
      </c>
      <c r="M15" s="11" t="s">
        <v>63</v>
      </c>
    </row>
    <row r="16" ht="63.75" customHeight="1">
      <c r="A16" s="9" t="s">
        <v>18</v>
      </c>
      <c r="B16" s="10">
        <v>1.0</v>
      </c>
      <c r="C16" s="10" t="s">
        <v>56</v>
      </c>
      <c r="D16" s="10" t="s">
        <v>64</v>
      </c>
      <c r="E16" s="10" t="s">
        <v>65</v>
      </c>
      <c r="F16" s="10">
        <v>3.0</v>
      </c>
      <c r="G16" s="11" t="s">
        <v>66</v>
      </c>
      <c r="H16" s="12">
        <v>46105.0</v>
      </c>
      <c r="I16" s="12">
        <v>46105.0</v>
      </c>
      <c r="J16" s="10">
        <v>3.0</v>
      </c>
      <c r="K16" s="10" t="s">
        <v>21</v>
      </c>
      <c r="L16" s="13" t="s">
        <v>23</v>
      </c>
      <c r="M16" s="11" t="s">
        <v>67</v>
      </c>
    </row>
    <row r="17" ht="63.75" customHeight="1">
      <c r="A17" s="9" t="s">
        <v>18</v>
      </c>
      <c r="B17" s="10">
        <v>1.0</v>
      </c>
      <c r="C17" s="10" t="s">
        <v>68</v>
      </c>
      <c r="D17" s="10" t="s">
        <v>69</v>
      </c>
      <c r="E17" s="10" t="s">
        <v>44</v>
      </c>
      <c r="F17" s="10">
        <v>2.0</v>
      </c>
      <c r="G17" s="11" t="s">
        <v>27</v>
      </c>
      <c r="H17" s="12">
        <v>46106.0</v>
      </c>
      <c r="I17" s="12">
        <v>46106.0</v>
      </c>
      <c r="J17" s="10">
        <v>2.0</v>
      </c>
      <c r="K17" s="10" t="s">
        <v>21</v>
      </c>
      <c r="L17" s="13" t="s">
        <v>23</v>
      </c>
      <c r="M17" s="11" t="s">
        <v>70</v>
      </c>
    </row>
    <row r="18" ht="63.75" customHeight="1">
      <c r="A18" s="9" t="s">
        <v>18</v>
      </c>
      <c r="B18" s="10">
        <v>1.0</v>
      </c>
      <c r="C18" s="10" t="s">
        <v>71</v>
      </c>
      <c r="D18" s="10" t="s">
        <v>72</v>
      </c>
      <c r="E18" s="10" t="s">
        <v>37</v>
      </c>
      <c r="F18" s="10">
        <v>2.0</v>
      </c>
      <c r="G18" s="11" t="s">
        <v>73</v>
      </c>
      <c r="H18" s="12">
        <v>46111.0</v>
      </c>
      <c r="I18" s="12">
        <v>46113.0</v>
      </c>
      <c r="J18" s="10">
        <v>2.0</v>
      </c>
      <c r="K18" s="10" t="s">
        <v>21</v>
      </c>
      <c r="L18" s="13" t="s">
        <v>23</v>
      </c>
      <c r="M18" s="11" t="s">
        <v>74</v>
      </c>
    </row>
    <row r="19" ht="108.75" customHeight="1">
      <c r="A19" s="9" t="s">
        <v>18</v>
      </c>
      <c r="B19" s="10">
        <v>1.0</v>
      </c>
      <c r="C19" s="10" t="s">
        <v>75</v>
      </c>
      <c r="D19" s="10" t="s">
        <v>76</v>
      </c>
      <c r="E19" s="10" t="s">
        <v>26</v>
      </c>
      <c r="F19" s="10">
        <v>2.0</v>
      </c>
      <c r="G19" s="11" t="s">
        <v>77</v>
      </c>
      <c r="H19" s="12">
        <v>46112.0</v>
      </c>
      <c r="I19" s="12">
        <v>46112.0</v>
      </c>
      <c r="J19" s="10">
        <v>2.0</v>
      </c>
      <c r="K19" s="10" t="s">
        <v>21</v>
      </c>
      <c r="L19" s="13" t="s">
        <v>23</v>
      </c>
      <c r="M19" s="11" t="s">
        <v>78</v>
      </c>
    </row>
    <row r="20" ht="63.75" customHeight="1">
      <c r="A20" s="9" t="s">
        <v>18</v>
      </c>
      <c r="B20" s="10">
        <v>1.0</v>
      </c>
      <c r="C20" s="10" t="s">
        <v>79</v>
      </c>
      <c r="D20" s="10" t="s">
        <v>80</v>
      </c>
      <c r="E20" s="10" t="s">
        <v>81</v>
      </c>
      <c r="F20" s="10">
        <v>3.0</v>
      </c>
      <c r="G20" s="11" t="s">
        <v>82</v>
      </c>
      <c r="H20" s="12">
        <v>46103.0</v>
      </c>
      <c r="I20" s="12">
        <v>46108.0</v>
      </c>
      <c r="J20" s="10">
        <v>3.0</v>
      </c>
      <c r="K20" s="10" t="s">
        <v>21</v>
      </c>
      <c r="L20" s="13" t="s">
        <v>23</v>
      </c>
      <c r="M20" s="11" t="s">
        <v>83</v>
      </c>
    </row>
    <row r="21" ht="63.75" customHeight="1">
      <c r="A21" s="9" t="s">
        <v>18</v>
      </c>
      <c r="B21" s="10">
        <v>1.0</v>
      </c>
      <c r="C21" s="10" t="s">
        <v>84</v>
      </c>
      <c r="D21" s="10" t="s">
        <v>85</v>
      </c>
      <c r="E21" s="10" t="s">
        <v>86</v>
      </c>
      <c r="F21" s="10">
        <v>3.0</v>
      </c>
      <c r="G21" s="11" t="s">
        <v>87</v>
      </c>
      <c r="H21" s="12">
        <v>46116.0</v>
      </c>
      <c r="I21" s="12">
        <v>46118.0</v>
      </c>
      <c r="J21" s="10">
        <v>3.0</v>
      </c>
      <c r="K21" s="10" t="s">
        <v>21</v>
      </c>
      <c r="L21" s="13" t="s">
        <v>23</v>
      </c>
      <c r="M21" s="11" t="s">
        <v>88</v>
      </c>
    </row>
    <row r="22" ht="63.75" customHeight="1">
      <c r="A22" s="9" t="s">
        <v>18</v>
      </c>
      <c r="B22" s="10">
        <v>1.0</v>
      </c>
      <c r="C22" s="10" t="s">
        <v>60</v>
      </c>
      <c r="D22" s="10" t="s">
        <v>89</v>
      </c>
      <c r="E22" s="10" t="s">
        <v>44</v>
      </c>
      <c r="F22" s="10">
        <v>2.0</v>
      </c>
      <c r="G22" s="11" t="s">
        <v>90</v>
      </c>
      <c r="H22" s="12">
        <v>46116.0</v>
      </c>
      <c r="I22" s="12">
        <v>46117.0</v>
      </c>
      <c r="J22" s="10">
        <v>2.0</v>
      </c>
      <c r="K22" s="10" t="s">
        <v>21</v>
      </c>
      <c r="L22" s="13" t="s">
        <v>23</v>
      </c>
      <c r="M22" s="11" t="s">
        <v>91</v>
      </c>
    </row>
    <row r="23" ht="63.75" customHeight="1">
      <c r="A23" s="9" t="s">
        <v>18</v>
      </c>
      <c r="B23" s="10">
        <v>1.0</v>
      </c>
      <c r="C23" s="10" t="s">
        <v>92</v>
      </c>
      <c r="D23" s="10" t="s">
        <v>93</v>
      </c>
      <c r="E23" s="10" t="s">
        <v>44</v>
      </c>
      <c r="F23" s="10">
        <v>1.0</v>
      </c>
      <c r="G23" s="11" t="s">
        <v>94</v>
      </c>
      <c r="H23" s="12">
        <v>46118.0</v>
      </c>
      <c r="I23" s="12">
        <v>46118.0</v>
      </c>
      <c r="J23" s="10">
        <v>1.0</v>
      </c>
      <c r="K23" s="10" t="s">
        <v>21</v>
      </c>
      <c r="L23" s="13" t="s">
        <v>23</v>
      </c>
      <c r="M23" s="11" t="s">
        <v>95</v>
      </c>
    </row>
    <row r="24" ht="78.75" customHeight="1">
      <c r="A24" s="9" t="s">
        <v>18</v>
      </c>
      <c r="B24" s="10">
        <v>1.0</v>
      </c>
      <c r="C24" s="10" t="s">
        <v>96</v>
      </c>
      <c r="D24" s="10" t="s">
        <v>97</v>
      </c>
      <c r="E24" s="10" t="s">
        <v>98</v>
      </c>
      <c r="F24" s="10">
        <v>8.0</v>
      </c>
      <c r="G24" s="11" t="s">
        <v>99</v>
      </c>
      <c r="H24" s="12">
        <v>46102.0</v>
      </c>
      <c r="I24" s="12">
        <v>46127.0</v>
      </c>
      <c r="J24" s="10">
        <v>8.0</v>
      </c>
      <c r="K24" s="10" t="s">
        <v>21</v>
      </c>
      <c r="L24" s="13" t="s">
        <v>23</v>
      </c>
      <c r="M24" s="11" t="s">
        <v>100</v>
      </c>
    </row>
    <row r="25" ht="63.75" customHeight="1">
      <c r="A25" s="9" t="s">
        <v>18</v>
      </c>
      <c r="B25" s="10">
        <v>1.0</v>
      </c>
      <c r="C25" s="10" t="s">
        <v>96</v>
      </c>
      <c r="D25" s="10" t="s">
        <v>101</v>
      </c>
      <c r="E25" s="10" t="s">
        <v>21</v>
      </c>
      <c r="F25" s="10">
        <v>1.0</v>
      </c>
      <c r="G25" s="11" t="s">
        <v>102</v>
      </c>
      <c r="H25" s="12">
        <v>46120.0</v>
      </c>
      <c r="I25" s="12">
        <v>46120.0</v>
      </c>
      <c r="J25" s="10">
        <v>1.0</v>
      </c>
      <c r="K25" s="10" t="s">
        <v>21</v>
      </c>
      <c r="L25" s="13" t="s">
        <v>23</v>
      </c>
      <c r="M25" s="11" t="s">
        <v>103</v>
      </c>
    </row>
    <row r="26" ht="63.75" customHeight="1">
      <c r="A26" s="9" t="s">
        <v>18</v>
      </c>
      <c r="B26" s="10">
        <v>1.0</v>
      </c>
      <c r="C26" s="10" t="s">
        <v>96</v>
      </c>
      <c r="D26" s="10" t="s">
        <v>104</v>
      </c>
      <c r="E26" s="10" t="s">
        <v>105</v>
      </c>
      <c r="F26" s="10">
        <v>6.0</v>
      </c>
      <c r="G26" s="11" t="s">
        <v>106</v>
      </c>
      <c r="H26" s="12">
        <v>46098.0</v>
      </c>
      <c r="I26" s="12">
        <v>46129.0</v>
      </c>
      <c r="J26" s="10">
        <v>6.0</v>
      </c>
      <c r="K26" s="10" t="s">
        <v>21</v>
      </c>
      <c r="L26" s="13" t="s">
        <v>23</v>
      </c>
      <c r="M26" s="11" t="s">
        <v>107</v>
      </c>
    </row>
    <row r="27" ht="63.75" customHeight="1">
      <c r="A27" s="9" t="s">
        <v>18</v>
      </c>
      <c r="B27" s="10">
        <v>1.0</v>
      </c>
      <c r="C27" s="10" t="s">
        <v>108</v>
      </c>
      <c r="D27" s="10" t="s">
        <v>109</v>
      </c>
      <c r="E27" s="10" t="s">
        <v>37</v>
      </c>
      <c r="F27" s="10">
        <v>5.0</v>
      </c>
      <c r="G27" s="11" t="s">
        <v>110</v>
      </c>
      <c r="H27" s="12">
        <v>46112.0</v>
      </c>
      <c r="I27" s="12">
        <v>46130.0</v>
      </c>
      <c r="J27" s="10">
        <v>5.0</v>
      </c>
      <c r="K27" s="10" t="s">
        <v>21</v>
      </c>
      <c r="L27" s="13" t="s">
        <v>23</v>
      </c>
      <c r="M27" s="11" t="s">
        <v>111</v>
      </c>
    </row>
    <row r="28" ht="63.75" customHeight="1">
      <c r="A28" s="9" t="s">
        <v>18</v>
      </c>
      <c r="B28" s="10">
        <v>1.0</v>
      </c>
      <c r="C28" s="10" t="s">
        <v>108</v>
      </c>
      <c r="D28" s="10" t="s">
        <v>112</v>
      </c>
      <c r="E28" s="10" t="s">
        <v>105</v>
      </c>
      <c r="F28" s="10">
        <v>5.0</v>
      </c>
      <c r="G28" s="11" t="s">
        <v>113</v>
      </c>
      <c r="H28" s="12">
        <v>46113.0</v>
      </c>
      <c r="I28" s="12">
        <v>46127.0</v>
      </c>
      <c r="J28" s="10">
        <v>5.0</v>
      </c>
      <c r="K28" s="10" t="s">
        <v>21</v>
      </c>
      <c r="L28" s="13" t="s">
        <v>23</v>
      </c>
      <c r="M28" s="11" t="s">
        <v>114</v>
      </c>
    </row>
    <row r="29" ht="63.75" customHeight="1">
      <c r="A29" s="9" t="s">
        <v>18</v>
      </c>
      <c r="B29" s="10">
        <v>1.0</v>
      </c>
      <c r="C29" s="10" t="s">
        <v>115</v>
      </c>
      <c r="D29" s="10" t="s">
        <v>116</v>
      </c>
      <c r="E29" s="10" t="s">
        <v>44</v>
      </c>
      <c r="F29" s="10">
        <v>3.0</v>
      </c>
      <c r="G29" s="11" t="s">
        <v>117</v>
      </c>
      <c r="H29" s="12">
        <v>46123.0</v>
      </c>
      <c r="I29" s="12">
        <v>46129.0</v>
      </c>
      <c r="J29" s="10">
        <v>3.0</v>
      </c>
      <c r="K29" s="10" t="s">
        <v>21</v>
      </c>
      <c r="L29" s="13" t="s">
        <v>23</v>
      </c>
      <c r="M29" s="11" t="s">
        <v>118</v>
      </c>
    </row>
    <row r="30" ht="63.75" customHeight="1">
      <c r="A30" s="9" t="s">
        <v>18</v>
      </c>
      <c r="B30" s="10">
        <v>1.0</v>
      </c>
      <c r="C30" s="10" t="s">
        <v>119</v>
      </c>
      <c r="D30" s="10" t="s">
        <v>120</v>
      </c>
      <c r="E30" s="10" t="s">
        <v>37</v>
      </c>
      <c r="F30" s="10">
        <v>3.0</v>
      </c>
      <c r="G30" s="11" t="s">
        <v>121</v>
      </c>
      <c r="H30" s="12">
        <v>46113.0</v>
      </c>
      <c r="I30" s="12">
        <v>46130.0</v>
      </c>
      <c r="J30" s="10">
        <v>3.0</v>
      </c>
      <c r="K30" s="10" t="s">
        <v>21</v>
      </c>
      <c r="L30" s="13" t="s">
        <v>23</v>
      </c>
      <c r="M30" s="11" t="s">
        <v>122</v>
      </c>
    </row>
    <row r="31" ht="48.75" customHeight="1">
      <c r="A31" s="9" t="s">
        <v>18</v>
      </c>
      <c r="B31" s="10">
        <v>1.0</v>
      </c>
      <c r="C31" s="10" t="s">
        <v>123</v>
      </c>
      <c r="D31" s="10" t="s">
        <v>124</v>
      </c>
      <c r="E31" s="10" t="s">
        <v>125</v>
      </c>
      <c r="F31" s="10">
        <v>2.0</v>
      </c>
      <c r="G31" s="11" t="s">
        <v>126</v>
      </c>
      <c r="H31" s="12">
        <v>46128.0</v>
      </c>
      <c r="I31" s="12">
        <v>46128.0</v>
      </c>
      <c r="J31" s="10">
        <v>2.0</v>
      </c>
      <c r="K31" s="10" t="s">
        <v>21</v>
      </c>
      <c r="L31" s="13" t="s">
        <v>23</v>
      </c>
      <c r="M31" s="11" t="s">
        <v>127</v>
      </c>
    </row>
    <row r="32" ht="48.75" customHeight="1">
      <c r="A32" s="9" t="s">
        <v>18</v>
      </c>
      <c r="B32" s="10">
        <v>1.0</v>
      </c>
      <c r="C32" s="10" t="s">
        <v>123</v>
      </c>
      <c r="D32" s="10" t="s">
        <v>128</v>
      </c>
      <c r="E32" s="10" t="s">
        <v>21</v>
      </c>
      <c r="F32" s="10">
        <v>3.0</v>
      </c>
      <c r="G32" s="11" t="s">
        <v>129</v>
      </c>
      <c r="H32" s="12">
        <v>46128.0</v>
      </c>
      <c r="I32" s="12">
        <v>46131.0</v>
      </c>
      <c r="J32" s="10">
        <v>3.0</v>
      </c>
      <c r="K32" s="10" t="s">
        <v>21</v>
      </c>
      <c r="L32" s="13" t="s">
        <v>23</v>
      </c>
      <c r="M32" s="11" t="s">
        <v>130</v>
      </c>
    </row>
    <row r="33" ht="48.75" customHeight="1">
      <c r="A33" s="9" t="s">
        <v>18</v>
      </c>
      <c r="B33" s="10">
        <v>1.0</v>
      </c>
      <c r="C33" s="10" t="s">
        <v>123</v>
      </c>
      <c r="D33" s="10" t="s">
        <v>131</v>
      </c>
      <c r="E33" s="10" t="s">
        <v>21</v>
      </c>
      <c r="F33" s="10">
        <v>1.0</v>
      </c>
      <c r="G33" s="11" t="s">
        <v>132</v>
      </c>
      <c r="H33" s="12">
        <v>46131.0</v>
      </c>
      <c r="I33" s="12">
        <v>46131.0</v>
      </c>
      <c r="J33" s="10">
        <v>1.0</v>
      </c>
      <c r="K33" s="10" t="s">
        <v>21</v>
      </c>
      <c r="L33" s="13" t="s">
        <v>23</v>
      </c>
      <c r="M33" s="11" t="s">
        <v>133</v>
      </c>
    </row>
    <row r="34" ht="63.75" customHeight="1">
      <c r="A34" s="9" t="s">
        <v>18</v>
      </c>
      <c r="B34" s="10">
        <v>1.0</v>
      </c>
      <c r="C34" s="10" t="s">
        <v>123</v>
      </c>
      <c r="D34" s="10" t="s">
        <v>134</v>
      </c>
      <c r="E34" s="10" t="s">
        <v>26</v>
      </c>
      <c r="F34" s="10">
        <v>2.0</v>
      </c>
      <c r="G34" s="11" t="s">
        <v>135</v>
      </c>
      <c r="H34" s="12">
        <v>46132.0</v>
      </c>
      <c r="I34" s="12">
        <v>46133.0</v>
      </c>
      <c r="J34" s="10">
        <v>2.0</v>
      </c>
      <c r="K34" s="10" t="s">
        <v>21</v>
      </c>
      <c r="L34" s="13" t="s">
        <v>23</v>
      </c>
      <c r="M34" s="11" t="s">
        <v>136</v>
      </c>
    </row>
    <row r="35" ht="63.75" customHeight="1">
      <c r="A35" s="9" t="s">
        <v>18</v>
      </c>
      <c r="B35" s="10">
        <v>1.0</v>
      </c>
      <c r="C35" s="10" t="s">
        <v>123</v>
      </c>
      <c r="D35" s="10" t="s">
        <v>137</v>
      </c>
      <c r="E35" s="10" t="s">
        <v>26</v>
      </c>
      <c r="F35" s="10">
        <v>1.0</v>
      </c>
      <c r="G35" s="11" t="s">
        <v>138</v>
      </c>
      <c r="H35" s="12">
        <v>46134.0</v>
      </c>
      <c r="I35" s="12">
        <v>46134.0</v>
      </c>
      <c r="J35" s="10">
        <v>1.0</v>
      </c>
      <c r="K35" s="10" t="s">
        <v>21</v>
      </c>
      <c r="L35" s="13" t="s">
        <v>23</v>
      </c>
      <c r="M35" s="11" t="s">
        <v>139</v>
      </c>
    </row>
    <row r="36" ht="63.75" customHeight="1">
      <c r="A36" s="14" t="s">
        <v>140</v>
      </c>
      <c r="B36" s="10">
        <v>1.0</v>
      </c>
      <c r="C36" s="10" t="s">
        <v>141</v>
      </c>
      <c r="D36" s="10" t="s">
        <v>142</v>
      </c>
      <c r="E36" s="10" t="s">
        <v>37</v>
      </c>
      <c r="F36" s="10">
        <v>6.0</v>
      </c>
      <c r="G36" s="11" t="s">
        <v>143</v>
      </c>
      <c r="H36" s="12">
        <v>46152.0</v>
      </c>
      <c r="I36" s="12">
        <v>46168.0</v>
      </c>
      <c r="J36" s="10">
        <v>5.0</v>
      </c>
      <c r="K36" s="10" t="s">
        <v>37</v>
      </c>
      <c r="L36" s="13" t="s">
        <v>23</v>
      </c>
      <c r="M36" s="11" t="s">
        <v>144</v>
      </c>
    </row>
    <row r="37" ht="48.75" customHeight="1">
      <c r="A37" s="14" t="s">
        <v>140</v>
      </c>
      <c r="B37" s="10">
        <v>1.0</v>
      </c>
      <c r="C37" s="10" t="s">
        <v>141</v>
      </c>
      <c r="D37" s="10" t="s">
        <v>145</v>
      </c>
      <c r="E37" s="10" t="s">
        <v>37</v>
      </c>
      <c r="F37" s="10">
        <v>2.0</v>
      </c>
      <c r="G37" s="11" t="s">
        <v>146</v>
      </c>
      <c r="H37" s="12">
        <v>46161.0</v>
      </c>
      <c r="I37" s="12">
        <v>46168.0</v>
      </c>
      <c r="J37" s="10">
        <v>1.0</v>
      </c>
      <c r="K37" s="10" t="s">
        <v>37</v>
      </c>
      <c r="L37" s="13" t="s">
        <v>23</v>
      </c>
      <c r="M37" s="11" t="s">
        <v>147</v>
      </c>
    </row>
    <row r="38" ht="48.75" customHeight="1">
      <c r="A38" s="14" t="s">
        <v>140</v>
      </c>
      <c r="B38" s="10">
        <v>1.0</v>
      </c>
      <c r="C38" s="10" t="s">
        <v>141</v>
      </c>
      <c r="D38" s="10" t="s">
        <v>148</v>
      </c>
      <c r="E38" s="10" t="s">
        <v>37</v>
      </c>
      <c r="F38" s="10">
        <v>2.0</v>
      </c>
      <c r="G38" s="11" t="s">
        <v>149</v>
      </c>
      <c r="H38" s="12">
        <v>46151.0</v>
      </c>
      <c r="I38" s="12">
        <v>46168.0</v>
      </c>
      <c r="J38" s="10">
        <v>2.0</v>
      </c>
      <c r="K38" s="10" t="s">
        <v>37</v>
      </c>
      <c r="L38" s="13" t="s">
        <v>23</v>
      </c>
      <c r="M38" s="11" t="s">
        <v>150</v>
      </c>
    </row>
    <row r="39" ht="48.75" customHeight="1">
      <c r="A39" s="14" t="s">
        <v>140</v>
      </c>
      <c r="B39" s="10">
        <v>1.0</v>
      </c>
      <c r="C39" s="10" t="s">
        <v>141</v>
      </c>
      <c r="D39" s="10" t="s">
        <v>151</v>
      </c>
      <c r="E39" s="10" t="s">
        <v>37</v>
      </c>
      <c r="F39" s="10">
        <v>2.0</v>
      </c>
      <c r="G39" s="11" t="s">
        <v>152</v>
      </c>
      <c r="H39" s="12">
        <v>46162.0</v>
      </c>
      <c r="I39" s="12">
        <v>46168.0</v>
      </c>
      <c r="J39" s="10">
        <v>1.0</v>
      </c>
      <c r="K39" s="10" t="s">
        <v>37</v>
      </c>
      <c r="L39" s="13" t="s">
        <v>23</v>
      </c>
      <c r="M39" s="11" t="s">
        <v>153</v>
      </c>
    </row>
    <row r="40" ht="48.75" customHeight="1">
      <c r="A40" s="14" t="s">
        <v>140</v>
      </c>
      <c r="B40" s="10">
        <v>1.0</v>
      </c>
      <c r="C40" s="10" t="s">
        <v>154</v>
      </c>
      <c r="D40" s="10" t="s">
        <v>155</v>
      </c>
      <c r="E40" s="10" t="s">
        <v>41</v>
      </c>
      <c r="F40" s="10">
        <v>3.0</v>
      </c>
      <c r="G40" s="11" t="s">
        <v>156</v>
      </c>
      <c r="H40" s="12">
        <v>46157.0</v>
      </c>
      <c r="I40" s="12">
        <v>46168.0</v>
      </c>
      <c r="J40" s="10">
        <v>2.0</v>
      </c>
      <c r="K40" s="10" t="s">
        <v>37</v>
      </c>
      <c r="L40" s="13" t="s">
        <v>23</v>
      </c>
      <c r="M40" s="11" t="s">
        <v>157</v>
      </c>
    </row>
    <row r="41" ht="48.75" customHeight="1">
      <c r="A41" s="14" t="s">
        <v>140</v>
      </c>
      <c r="B41" s="10">
        <v>1.0</v>
      </c>
      <c r="C41" s="10" t="s">
        <v>154</v>
      </c>
      <c r="D41" s="10" t="s">
        <v>158</v>
      </c>
      <c r="E41" s="10" t="s">
        <v>41</v>
      </c>
      <c r="F41" s="10">
        <v>5.0</v>
      </c>
      <c r="G41" s="11" t="s">
        <v>159</v>
      </c>
      <c r="H41" s="12">
        <v>46152.0</v>
      </c>
      <c r="I41" s="12">
        <v>46168.0</v>
      </c>
      <c r="J41" s="10">
        <v>7.0</v>
      </c>
      <c r="K41" s="10" t="s">
        <v>37</v>
      </c>
      <c r="L41" s="13" t="s">
        <v>23</v>
      </c>
      <c r="M41" s="11" t="s">
        <v>160</v>
      </c>
    </row>
    <row r="42" ht="48.75" customHeight="1">
      <c r="A42" s="14" t="s">
        <v>140</v>
      </c>
      <c r="B42" s="10">
        <v>1.0</v>
      </c>
      <c r="C42" s="10" t="s">
        <v>161</v>
      </c>
      <c r="D42" s="10" t="s">
        <v>162</v>
      </c>
      <c r="E42" s="10" t="s">
        <v>21</v>
      </c>
      <c r="F42" s="10">
        <v>3.0</v>
      </c>
      <c r="G42" s="11" t="s">
        <v>163</v>
      </c>
      <c r="H42" s="12">
        <v>46159.0</v>
      </c>
      <c r="I42" s="12">
        <v>46168.0</v>
      </c>
      <c r="J42" s="10">
        <v>3.0</v>
      </c>
      <c r="K42" s="10" t="s">
        <v>37</v>
      </c>
      <c r="L42" s="13" t="s">
        <v>23</v>
      </c>
      <c r="M42" s="11" t="s">
        <v>164</v>
      </c>
    </row>
    <row r="43" ht="48.75" customHeight="1">
      <c r="A43" s="14" t="s">
        <v>140</v>
      </c>
      <c r="B43" s="10">
        <v>1.0</v>
      </c>
      <c r="C43" s="10" t="s">
        <v>165</v>
      </c>
      <c r="D43" s="10" t="s">
        <v>166</v>
      </c>
      <c r="E43" s="10" t="s">
        <v>21</v>
      </c>
      <c r="F43" s="10">
        <v>3.0</v>
      </c>
      <c r="G43" s="11" t="s">
        <v>167</v>
      </c>
      <c r="H43" s="12">
        <v>46154.0</v>
      </c>
      <c r="I43" s="12">
        <v>46168.0</v>
      </c>
      <c r="J43" s="10">
        <v>2.0</v>
      </c>
      <c r="K43" s="10" t="s">
        <v>37</v>
      </c>
      <c r="L43" s="13" t="s">
        <v>23</v>
      </c>
      <c r="M43" s="11" t="s">
        <v>168</v>
      </c>
    </row>
    <row r="44" ht="48.75" customHeight="1">
      <c r="A44" s="14" t="s">
        <v>140</v>
      </c>
      <c r="B44" s="10">
        <v>1.0</v>
      </c>
      <c r="C44" s="10" t="s">
        <v>154</v>
      </c>
      <c r="D44" s="10" t="s">
        <v>169</v>
      </c>
      <c r="E44" s="10" t="s">
        <v>44</v>
      </c>
      <c r="F44" s="10">
        <v>3.0</v>
      </c>
      <c r="G44" s="11" t="s">
        <v>170</v>
      </c>
      <c r="H44" s="12">
        <v>46159.0</v>
      </c>
      <c r="I44" s="12">
        <v>46168.0</v>
      </c>
      <c r="J44" s="10">
        <v>2.0</v>
      </c>
      <c r="K44" s="10" t="s">
        <v>37</v>
      </c>
      <c r="L44" s="13" t="s">
        <v>23</v>
      </c>
      <c r="M44" s="11" t="s">
        <v>171</v>
      </c>
    </row>
    <row r="45" ht="48.75" customHeight="1">
      <c r="A45" s="14" t="s">
        <v>140</v>
      </c>
      <c r="B45" s="10">
        <v>1.0</v>
      </c>
      <c r="C45" s="10" t="s">
        <v>172</v>
      </c>
      <c r="D45" s="10" t="s">
        <v>173</v>
      </c>
      <c r="E45" s="10" t="s">
        <v>44</v>
      </c>
      <c r="F45" s="10">
        <v>3.0</v>
      </c>
      <c r="G45" s="11" t="s">
        <v>152</v>
      </c>
      <c r="H45" s="12">
        <v>46163.0</v>
      </c>
      <c r="I45" s="12">
        <v>46168.0</v>
      </c>
      <c r="J45" s="10">
        <v>1.0</v>
      </c>
      <c r="K45" s="10" t="s">
        <v>37</v>
      </c>
      <c r="L45" s="13" t="s">
        <v>23</v>
      </c>
      <c r="M45" s="11" t="s">
        <v>174</v>
      </c>
    </row>
    <row r="46" ht="48.75" customHeight="1">
      <c r="A46" s="14" t="s">
        <v>140</v>
      </c>
      <c r="B46" s="10">
        <v>2.0</v>
      </c>
      <c r="C46" s="10" t="s">
        <v>75</v>
      </c>
      <c r="D46" s="10" t="s">
        <v>175</v>
      </c>
      <c r="E46" s="10" t="s">
        <v>37</v>
      </c>
      <c r="F46" s="10">
        <v>3.0</v>
      </c>
      <c r="G46" s="11" t="s">
        <v>176</v>
      </c>
      <c r="H46" s="12">
        <v>46151.0</v>
      </c>
      <c r="I46" s="12">
        <v>46168.0</v>
      </c>
      <c r="J46" s="10">
        <v>3.0</v>
      </c>
      <c r="K46" s="10" t="s">
        <v>37</v>
      </c>
      <c r="L46" s="13" t="s">
        <v>23</v>
      </c>
      <c r="M46" s="11" t="s">
        <v>177</v>
      </c>
    </row>
    <row r="47" ht="48.75" customHeight="1">
      <c r="A47" s="14" t="s">
        <v>140</v>
      </c>
      <c r="B47" s="10">
        <v>2.0</v>
      </c>
      <c r="C47" s="10" t="s">
        <v>75</v>
      </c>
      <c r="D47" s="10" t="s">
        <v>178</v>
      </c>
      <c r="E47" s="10" t="s">
        <v>37</v>
      </c>
      <c r="F47" s="10">
        <v>3.0</v>
      </c>
      <c r="G47" s="11" t="s">
        <v>176</v>
      </c>
      <c r="H47" s="12">
        <v>46151.0</v>
      </c>
      <c r="I47" s="12">
        <v>46168.0</v>
      </c>
      <c r="J47" s="10">
        <v>3.0</v>
      </c>
      <c r="K47" s="10" t="s">
        <v>37</v>
      </c>
      <c r="L47" s="13" t="s">
        <v>23</v>
      </c>
      <c r="M47" s="11" t="s">
        <v>179</v>
      </c>
    </row>
    <row r="48" ht="33.75" customHeight="1">
      <c r="A48" s="14" t="s">
        <v>140</v>
      </c>
      <c r="B48" s="10">
        <v>1.0</v>
      </c>
      <c r="C48" s="10" t="s">
        <v>180</v>
      </c>
      <c r="D48" s="10" t="s">
        <v>181</v>
      </c>
      <c r="E48" s="10" t="s">
        <v>41</v>
      </c>
      <c r="F48" s="10">
        <v>10.0</v>
      </c>
      <c r="G48" s="11" t="s">
        <v>182</v>
      </c>
      <c r="H48" s="12">
        <v>46165.0</v>
      </c>
      <c r="I48" s="12">
        <v>46168.0</v>
      </c>
      <c r="J48" s="10">
        <v>7.0</v>
      </c>
      <c r="K48" s="10" t="s">
        <v>37</v>
      </c>
      <c r="L48" s="13" t="s">
        <v>23</v>
      </c>
      <c r="M48" s="11" t="s">
        <v>183</v>
      </c>
    </row>
    <row r="49" ht="33.75" customHeight="1">
      <c r="A49" s="14" t="s">
        <v>140</v>
      </c>
      <c r="B49" s="10">
        <v>1.0</v>
      </c>
      <c r="C49" s="10" t="s">
        <v>180</v>
      </c>
      <c r="D49" s="10" t="s">
        <v>181</v>
      </c>
      <c r="E49" s="10" t="s">
        <v>44</v>
      </c>
      <c r="F49" s="10">
        <v>10.0</v>
      </c>
      <c r="G49" s="11" t="s">
        <v>184</v>
      </c>
      <c r="H49" s="12">
        <v>46165.0</v>
      </c>
      <c r="I49" s="12">
        <v>46168.0</v>
      </c>
      <c r="J49" s="10">
        <v>7.0</v>
      </c>
      <c r="K49" s="10" t="s">
        <v>37</v>
      </c>
      <c r="L49" s="13" t="s">
        <v>23</v>
      </c>
      <c r="M49" s="11" t="s">
        <v>183</v>
      </c>
    </row>
    <row r="50" ht="48.75" customHeight="1">
      <c r="A50" s="14" t="s">
        <v>140</v>
      </c>
      <c r="B50" s="10">
        <v>1.0</v>
      </c>
      <c r="C50" s="10" t="s">
        <v>165</v>
      </c>
      <c r="D50" s="10" t="s">
        <v>185</v>
      </c>
      <c r="E50" s="10" t="s">
        <v>81</v>
      </c>
      <c r="F50" s="10">
        <v>3.0</v>
      </c>
      <c r="G50" s="11" t="s">
        <v>159</v>
      </c>
      <c r="H50" s="12">
        <v>46152.0</v>
      </c>
      <c r="I50" s="12">
        <v>46168.0</v>
      </c>
      <c r="J50" s="10">
        <v>7.0</v>
      </c>
      <c r="K50" s="10" t="s">
        <v>37</v>
      </c>
      <c r="L50" s="13" t="s">
        <v>23</v>
      </c>
      <c r="M50" s="11" t="s">
        <v>186</v>
      </c>
    </row>
    <row r="51" ht="48.75" customHeight="1">
      <c r="A51" s="14" t="s">
        <v>140</v>
      </c>
      <c r="B51" s="10">
        <v>1.0</v>
      </c>
      <c r="C51" s="10" t="s">
        <v>165</v>
      </c>
      <c r="D51" s="10" t="s">
        <v>185</v>
      </c>
      <c r="E51" s="10" t="s">
        <v>21</v>
      </c>
      <c r="F51" s="10">
        <v>3.0</v>
      </c>
      <c r="G51" s="11" t="s">
        <v>187</v>
      </c>
      <c r="H51" s="12">
        <v>46165.0</v>
      </c>
      <c r="I51" s="12">
        <v>46168.0</v>
      </c>
      <c r="J51" s="10">
        <v>4.0</v>
      </c>
      <c r="K51" s="10" t="s">
        <v>37</v>
      </c>
      <c r="L51" s="13" t="s">
        <v>23</v>
      </c>
      <c r="M51" s="11" t="s">
        <v>186</v>
      </c>
    </row>
    <row r="52" ht="48.75" customHeight="1">
      <c r="A52" s="14" t="s">
        <v>140</v>
      </c>
      <c r="B52" s="10">
        <v>1.0</v>
      </c>
      <c r="C52" s="10" t="s">
        <v>165</v>
      </c>
      <c r="D52" s="10" t="s">
        <v>185</v>
      </c>
      <c r="E52" s="10" t="s">
        <v>188</v>
      </c>
      <c r="F52" s="10">
        <v>3.0</v>
      </c>
      <c r="G52" s="11" t="s">
        <v>159</v>
      </c>
      <c r="H52" s="12">
        <v>46152.0</v>
      </c>
      <c r="I52" s="12">
        <v>46168.0</v>
      </c>
      <c r="J52" s="10">
        <v>7.0</v>
      </c>
      <c r="K52" s="10" t="s">
        <v>37</v>
      </c>
      <c r="L52" s="13" t="s">
        <v>23</v>
      </c>
      <c r="M52" s="11" t="s">
        <v>186</v>
      </c>
    </row>
    <row r="53" ht="63.75" customHeight="1">
      <c r="A53" s="15" t="s">
        <v>189</v>
      </c>
      <c r="B53" s="10">
        <v>1.0</v>
      </c>
      <c r="C53" s="10" t="s">
        <v>165</v>
      </c>
      <c r="D53" s="10" t="s">
        <v>190</v>
      </c>
      <c r="E53" s="10" t="s">
        <v>37</v>
      </c>
      <c r="F53" s="10">
        <v>2.0</v>
      </c>
      <c r="G53" s="11" t="s">
        <v>191</v>
      </c>
      <c r="H53" s="12">
        <v>46244.0</v>
      </c>
      <c r="I53" s="12">
        <v>46245.0</v>
      </c>
      <c r="J53" s="10">
        <v>2.0</v>
      </c>
      <c r="K53" s="10" t="s">
        <v>37</v>
      </c>
      <c r="L53" s="13" t="s">
        <v>23</v>
      </c>
      <c r="M53" s="11" t="s">
        <v>192</v>
      </c>
    </row>
    <row r="54" ht="63.75" customHeight="1">
      <c r="A54" s="15" t="s">
        <v>189</v>
      </c>
      <c r="B54" s="10">
        <v>1.0</v>
      </c>
      <c r="C54" s="10" t="s">
        <v>141</v>
      </c>
      <c r="D54" s="10" t="s">
        <v>193</v>
      </c>
      <c r="E54" s="10" t="s">
        <v>44</v>
      </c>
      <c r="F54" s="10">
        <v>2.0</v>
      </c>
      <c r="G54" s="11" t="s">
        <v>194</v>
      </c>
      <c r="H54" s="12">
        <v>46246.0</v>
      </c>
      <c r="I54" s="12">
        <v>46247.0</v>
      </c>
      <c r="J54" s="10">
        <v>2.0</v>
      </c>
      <c r="K54" s="10" t="s">
        <v>37</v>
      </c>
      <c r="L54" s="13" t="s">
        <v>23</v>
      </c>
      <c r="M54" s="11" t="s">
        <v>195</v>
      </c>
    </row>
    <row r="55" ht="63.75" customHeight="1">
      <c r="A55" s="15" t="s">
        <v>189</v>
      </c>
      <c r="B55" s="10">
        <v>1.0</v>
      </c>
      <c r="C55" s="10" t="s">
        <v>165</v>
      </c>
      <c r="D55" s="10" t="s">
        <v>155</v>
      </c>
      <c r="E55" s="10" t="s">
        <v>44</v>
      </c>
      <c r="F55" s="10">
        <v>3.0</v>
      </c>
      <c r="G55" s="11" t="s">
        <v>196</v>
      </c>
      <c r="H55" s="12">
        <v>46247.0</v>
      </c>
      <c r="I55" s="12">
        <v>46248.0</v>
      </c>
      <c r="J55" s="10">
        <v>2.0</v>
      </c>
      <c r="K55" s="10" t="s">
        <v>37</v>
      </c>
      <c r="L55" s="13" t="s">
        <v>23</v>
      </c>
      <c r="M55" s="11" t="s">
        <v>197</v>
      </c>
    </row>
    <row r="56" ht="78.75" customHeight="1">
      <c r="A56" s="15" t="s">
        <v>189</v>
      </c>
      <c r="B56" s="10">
        <v>1.0</v>
      </c>
      <c r="C56" s="10" t="s">
        <v>165</v>
      </c>
      <c r="D56" s="10" t="s">
        <v>158</v>
      </c>
      <c r="E56" s="10" t="s">
        <v>41</v>
      </c>
      <c r="F56" s="10">
        <v>5.0</v>
      </c>
      <c r="G56" s="11" t="s">
        <v>198</v>
      </c>
      <c r="H56" s="12">
        <v>46244.0</v>
      </c>
      <c r="I56" s="12">
        <v>46248.0</v>
      </c>
      <c r="J56" s="10">
        <v>4.0</v>
      </c>
      <c r="K56" s="10" t="s">
        <v>37</v>
      </c>
      <c r="L56" s="13" t="s">
        <v>23</v>
      </c>
      <c r="M56" s="11" t="s">
        <v>199</v>
      </c>
    </row>
    <row r="57" ht="78.75" customHeight="1">
      <c r="A57" s="15" t="s">
        <v>189</v>
      </c>
      <c r="B57" s="10">
        <v>1.0</v>
      </c>
      <c r="C57" s="10" t="s">
        <v>165</v>
      </c>
      <c r="D57" s="10" t="s">
        <v>200</v>
      </c>
      <c r="E57" s="10" t="s">
        <v>21</v>
      </c>
      <c r="F57" s="10">
        <v>3.0</v>
      </c>
      <c r="G57" s="11" t="s">
        <v>196</v>
      </c>
      <c r="H57" s="12">
        <v>46247.0</v>
      </c>
      <c r="I57" s="12">
        <v>46248.0</v>
      </c>
      <c r="J57" s="10">
        <v>2.0</v>
      </c>
      <c r="K57" s="10" t="s">
        <v>37</v>
      </c>
      <c r="L57" s="13" t="s">
        <v>23</v>
      </c>
      <c r="M57" s="11" t="s">
        <v>201</v>
      </c>
    </row>
    <row r="58" ht="63.75" customHeight="1">
      <c r="A58" s="15" t="s">
        <v>189</v>
      </c>
      <c r="B58" s="10">
        <v>1.0</v>
      </c>
      <c r="C58" s="10" t="s">
        <v>165</v>
      </c>
      <c r="D58" s="10" t="s">
        <v>169</v>
      </c>
      <c r="E58" s="10" t="s">
        <v>44</v>
      </c>
      <c r="F58" s="10">
        <v>3.0</v>
      </c>
      <c r="G58" s="11" t="s">
        <v>202</v>
      </c>
      <c r="H58" s="12">
        <v>46248.0</v>
      </c>
      <c r="I58" s="12">
        <v>46248.0</v>
      </c>
      <c r="J58" s="10">
        <v>1.5</v>
      </c>
      <c r="K58" s="10" t="s">
        <v>37</v>
      </c>
      <c r="L58" s="13" t="s">
        <v>23</v>
      </c>
      <c r="M58" s="11" t="s">
        <v>203</v>
      </c>
    </row>
    <row r="59" ht="63.75" customHeight="1">
      <c r="A59" s="15" t="s">
        <v>189</v>
      </c>
      <c r="B59" s="10">
        <v>1.0</v>
      </c>
      <c r="C59" s="10" t="s">
        <v>204</v>
      </c>
      <c r="D59" s="10" t="s">
        <v>205</v>
      </c>
      <c r="E59" s="10" t="s">
        <v>44</v>
      </c>
      <c r="F59" s="10">
        <v>3.0</v>
      </c>
      <c r="G59" s="11" t="s">
        <v>206</v>
      </c>
      <c r="H59" s="12">
        <v>46251.0</v>
      </c>
      <c r="I59" s="12">
        <v>46251.0</v>
      </c>
      <c r="J59" s="10">
        <v>1.5</v>
      </c>
      <c r="K59" s="10" t="s">
        <v>37</v>
      </c>
      <c r="L59" s="13" t="s">
        <v>23</v>
      </c>
      <c r="M59" s="11" t="s">
        <v>207</v>
      </c>
    </row>
    <row r="60" ht="63.75" customHeight="1">
      <c r="A60" s="15" t="s">
        <v>189</v>
      </c>
      <c r="B60" s="10">
        <v>2.0</v>
      </c>
      <c r="C60" s="10" t="s">
        <v>204</v>
      </c>
      <c r="D60" s="10" t="s">
        <v>175</v>
      </c>
      <c r="E60" s="10" t="s">
        <v>37</v>
      </c>
      <c r="F60" s="10">
        <v>3.0</v>
      </c>
      <c r="G60" s="11" t="s">
        <v>208</v>
      </c>
      <c r="H60" s="12">
        <v>46244.0</v>
      </c>
      <c r="I60" s="12">
        <v>46265.0</v>
      </c>
      <c r="J60" s="10">
        <v>2.0</v>
      </c>
      <c r="K60" s="10" t="s">
        <v>37</v>
      </c>
      <c r="L60" s="13" t="s">
        <v>23</v>
      </c>
      <c r="M60" s="11" t="s">
        <v>209</v>
      </c>
    </row>
    <row r="61" ht="78.75" customHeight="1">
      <c r="A61" s="15" t="s">
        <v>189</v>
      </c>
      <c r="B61" s="10">
        <v>2.0</v>
      </c>
      <c r="C61" s="10" t="s">
        <v>204</v>
      </c>
      <c r="D61" s="10" t="s">
        <v>178</v>
      </c>
      <c r="E61" s="10" t="s">
        <v>37</v>
      </c>
      <c r="F61" s="10">
        <v>3.0</v>
      </c>
      <c r="G61" s="11" t="s">
        <v>210</v>
      </c>
      <c r="H61" s="12">
        <v>46244.0</v>
      </c>
      <c r="I61" s="12">
        <v>46272.0</v>
      </c>
      <c r="J61" s="10">
        <v>1.5</v>
      </c>
      <c r="K61" s="10" t="s">
        <v>37</v>
      </c>
      <c r="L61" s="13" t="s">
        <v>23</v>
      </c>
      <c r="M61" s="11" t="s">
        <v>211</v>
      </c>
    </row>
    <row r="62" ht="48.75" customHeight="1">
      <c r="A62" s="15" t="s">
        <v>189</v>
      </c>
      <c r="B62" s="10">
        <v>1.0</v>
      </c>
      <c r="C62" s="10" t="s">
        <v>180</v>
      </c>
      <c r="D62" s="10" t="s">
        <v>181</v>
      </c>
      <c r="E62" s="10" t="s">
        <v>41</v>
      </c>
      <c r="F62" s="10">
        <v>10.0</v>
      </c>
      <c r="G62" s="11" t="s">
        <v>212</v>
      </c>
      <c r="H62" s="12">
        <v>46252.0</v>
      </c>
      <c r="I62" s="12">
        <v>46254.0</v>
      </c>
      <c r="J62" s="10">
        <v>6.0</v>
      </c>
      <c r="K62" s="10" t="s">
        <v>37</v>
      </c>
      <c r="L62" s="13" t="s">
        <v>23</v>
      </c>
      <c r="M62" s="11" t="s">
        <v>213</v>
      </c>
    </row>
    <row r="63" ht="48.75" customHeight="1">
      <c r="A63" s="15" t="s">
        <v>189</v>
      </c>
      <c r="B63" s="10">
        <v>1.0</v>
      </c>
      <c r="C63" s="10" t="s">
        <v>180</v>
      </c>
      <c r="D63" s="10" t="s">
        <v>181</v>
      </c>
      <c r="E63" s="10" t="s">
        <v>44</v>
      </c>
      <c r="F63" s="10">
        <v>10.0</v>
      </c>
      <c r="G63" s="11" t="s">
        <v>212</v>
      </c>
      <c r="H63" s="12">
        <v>46252.0</v>
      </c>
      <c r="I63" s="12">
        <v>46254.0</v>
      </c>
      <c r="J63" s="10">
        <v>6.0</v>
      </c>
      <c r="K63" s="10" t="s">
        <v>37</v>
      </c>
      <c r="L63" s="13" t="s">
        <v>23</v>
      </c>
      <c r="M63" s="11" t="s">
        <v>214</v>
      </c>
    </row>
    <row r="64" ht="78.75" customHeight="1">
      <c r="A64" s="15" t="s">
        <v>189</v>
      </c>
      <c r="B64" s="10">
        <v>1.0</v>
      </c>
      <c r="C64" s="10" t="s">
        <v>165</v>
      </c>
      <c r="D64" s="10" t="s">
        <v>215</v>
      </c>
      <c r="E64" s="10" t="s">
        <v>81</v>
      </c>
      <c r="F64" s="10">
        <v>3.0</v>
      </c>
      <c r="G64" s="11" t="s">
        <v>216</v>
      </c>
      <c r="H64" s="12">
        <v>46258.0</v>
      </c>
      <c r="I64" s="12">
        <v>46259.0</v>
      </c>
      <c r="J64" s="10">
        <v>2.5</v>
      </c>
      <c r="K64" s="10" t="s">
        <v>37</v>
      </c>
      <c r="L64" s="13" t="s">
        <v>23</v>
      </c>
      <c r="M64" s="11" t="s">
        <v>217</v>
      </c>
    </row>
    <row r="65" ht="63.75" customHeight="1">
      <c r="A65" s="15" t="s">
        <v>189</v>
      </c>
      <c r="B65" s="10">
        <v>1.0</v>
      </c>
      <c r="C65" s="10" t="s">
        <v>165</v>
      </c>
      <c r="D65" s="10" t="s">
        <v>218</v>
      </c>
      <c r="E65" s="10" t="s">
        <v>21</v>
      </c>
      <c r="F65" s="10">
        <v>3.0</v>
      </c>
      <c r="G65" s="11" t="s">
        <v>219</v>
      </c>
      <c r="H65" s="12">
        <v>46258.0</v>
      </c>
      <c r="I65" s="12">
        <v>46259.0</v>
      </c>
      <c r="J65" s="10">
        <v>2.0</v>
      </c>
      <c r="K65" s="10" t="s">
        <v>37</v>
      </c>
      <c r="L65" s="13" t="s">
        <v>23</v>
      </c>
      <c r="M65" s="11" t="s">
        <v>220</v>
      </c>
    </row>
    <row r="66" ht="63.75" customHeight="1">
      <c r="A66" s="15" t="s">
        <v>189</v>
      </c>
      <c r="B66" s="10">
        <v>1.0</v>
      </c>
      <c r="C66" s="10" t="s">
        <v>165</v>
      </c>
      <c r="D66" s="10" t="s">
        <v>221</v>
      </c>
      <c r="E66" s="10" t="s">
        <v>41</v>
      </c>
      <c r="F66" s="10">
        <v>3.0</v>
      </c>
      <c r="G66" s="11" t="s">
        <v>222</v>
      </c>
      <c r="H66" s="12">
        <v>46260.0</v>
      </c>
      <c r="I66" s="12">
        <v>46261.0</v>
      </c>
      <c r="J66" s="10">
        <v>2.5</v>
      </c>
      <c r="K66" s="10" t="s">
        <v>37</v>
      </c>
      <c r="L66" s="13" t="s">
        <v>23</v>
      </c>
      <c r="M66" s="11" t="s">
        <v>223</v>
      </c>
    </row>
    <row r="67" ht="78.75" customHeight="1">
      <c r="A67" s="15" t="s">
        <v>189</v>
      </c>
      <c r="B67" s="10">
        <v>1.0</v>
      </c>
      <c r="C67" s="10" t="s">
        <v>165</v>
      </c>
      <c r="D67" s="10" t="s">
        <v>224</v>
      </c>
      <c r="E67" s="10" t="s">
        <v>26</v>
      </c>
      <c r="F67" s="10">
        <v>3.0</v>
      </c>
      <c r="G67" s="11" t="s">
        <v>225</v>
      </c>
      <c r="H67" s="12">
        <v>46262.0</v>
      </c>
      <c r="I67" s="12">
        <v>46262.0</v>
      </c>
      <c r="J67" s="10">
        <v>2.0</v>
      </c>
      <c r="K67" s="10" t="s">
        <v>37</v>
      </c>
      <c r="L67" s="13" t="s">
        <v>23</v>
      </c>
      <c r="M67" s="11" t="s">
        <v>226</v>
      </c>
    </row>
    <row r="68" ht="78.75" customHeight="1">
      <c r="A68" s="15" t="s">
        <v>189</v>
      </c>
      <c r="B68" s="10">
        <v>1.0</v>
      </c>
      <c r="C68" s="10" t="s">
        <v>165</v>
      </c>
      <c r="D68" s="10" t="s">
        <v>227</v>
      </c>
      <c r="E68" s="10" t="s">
        <v>37</v>
      </c>
      <c r="F68" s="10">
        <v>3.0</v>
      </c>
      <c r="G68" s="11" t="s">
        <v>228</v>
      </c>
      <c r="H68" s="12">
        <v>46262.0</v>
      </c>
      <c r="I68" s="12">
        <v>46265.0</v>
      </c>
      <c r="J68" s="10">
        <v>2.0</v>
      </c>
      <c r="K68" s="10" t="s">
        <v>37</v>
      </c>
      <c r="L68" s="13" t="s">
        <v>23</v>
      </c>
      <c r="M68" s="11" t="s">
        <v>229</v>
      </c>
    </row>
    <row r="69" ht="63.75" customHeight="1">
      <c r="A69" s="15" t="s">
        <v>189</v>
      </c>
      <c r="B69" s="10">
        <v>1.0</v>
      </c>
      <c r="C69" s="10" t="s">
        <v>165</v>
      </c>
      <c r="D69" s="10" t="s">
        <v>230</v>
      </c>
      <c r="E69" s="10" t="s">
        <v>37</v>
      </c>
      <c r="F69" s="10">
        <v>3.0</v>
      </c>
      <c r="G69" s="11" t="s">
        <v>231</v>
      </c>
      <c r="H69" s="12">
        <v>46272.0</v>
      </c>
      <c r="I69" s="12">
        <v>46273.0</v>
      </c>
      <c r="J69" s="10">
        <v>2.5</v>
      </c>
      <c r="K69" s="10" t="s">
        <v>37</v>
      </c>
      <c r="L69" s="13" t="s">
        <v>23</v>
      </c>
      <c r="M69" s="11" t="s">
        <v>232</v>
      </c>
    </row>
    <row r="70" ht="78.75" customHeight="1">
      <c r="A70" s="15" t="s">
        <v>189</v>
      </c>
      <c r="B70" s="10">
        <v>1.0</v>
      </c>
      <c r="C70" s="10" t="s">
        <v>165</v>
      </c>
      <c r="D70" s="10" t="s">
        <v>233</v>
      </c>
      <c r="E70" s="10" t="s">
        <v>81</v>
      </c>
      <c r="F70" s="10">
        <v>3.0</v>
      </c>
      <c r="G70" s="11" t="s">
        <v>234</v>
      </c>
      <c r="H70" s="12">
        <v>46266.0</v>
      </c>
      <c r="I70" s="12">
        <v>46267.0</v>
      </c>
      <c r="J70" s="10">
        <v>2.5</v>
      </c>
      <c r="K70" s="10" t="s">
        <v>37</v>
      </c>
      <c r="L70" s="13" t="s">
        <v>23</v>
      </c>
      <c r="M70" s="11" t="s">
        <v>235</v>
      </c>
    </row>
    <row r="71" ht="63.75" customHeight="1">
      <c r="A71" s="15" t="s">
        <v>189</v>
      </c>
      <c r="B71" s="10">
        <v>1.0</v>
      </c>
      <c r="C71" s="10" t="s">
        <v>165</v>
      </c>
      <c r="D71" s="10" t="s">
        <v>236</v>
      </c>
      <c r="E71" s="10" t="s">
        <v>21</v>
      </c>
      <c r="F71" s="10">
        <v>3.0</v>
      </c>
      <c r="G71" s="11" t="s">
        <v>237</v>
      </c>
      <c r="H71" s="12">
        <v>46266.0</v>
      </c>
      <c r="I71" s="12">
        <v>46267.0</v>
      </c>
      <c r="J71" s="10">
        <v>2.0</v>
      </c>
      <c r="K71" s="10" t="s">
        <v>37</v>
      </c>
      <c r="L71" s="13" t="s">
        <v>23</v>
      </c>
      <c r="M71" s="11" t="s">
        <v>238</v>
      </c>
    </row>
    <row r="72" ht="78.75" customHeight="1">
      <c r="A72" s="15" t="s">
        <v>189</v>
      </c>
      <c r="B72" s="10">
        <v>1.0</v>
      </c>
      <c r="C72" s="10" t="s">
        <v>165</v>
      </c>
      <c r="D72" s="10" t="s">
        <v>239</v>
      </c>
      <c r="E72" s="10" t="s">
        <v>37</v>
      </c>
      <c r="F72" s="10">
        <v>3.0</v>
      </c>
      <c r="G72" s="11" t="s">
        <v>240</v>
      </c>
      <c r="H72" s="12">
        <v>46268.0</v>
      </c>
      <c r="I72" s="12">
        <v>46269.0</v>
      </c>
      <c r="J72" s="10">
        <v>2.0</v>
      </c>
      <c r="K72" s="10" t="s">
        <v>37</v>
      </c>
      <c r="L72" s="13" t="s">
        <v>23</v>
      </c>
      <c r="M72" s="11" t="s">
        <v>241</v>
      </c>
    </row>
    <row r="73" ht="63.75" customHeight="1">
      <c r="A73" s="15" t="s">
        <v>189</v>
      </c>
      <c r="B73" s="10">
        <v>1.0</v>
      </c>
      <c r="C73" s="10" t="s">
        <v>165</v>
      </c>
      <c r="D73" s="10" t="s">
        <v>239</v>
      </c>
      <c r="E73" s="10" t="s">
        <v>41</v>
      </c>
      <c r="F73" s="10">
        <v>3.0</v>
      </c>
      <c r="G73" s="11" t="s">
        <v>240</v>
      </c>
      <c r="H73" s="12">
        <v>46268.0</v>
      </c>
      <c r="I73" s="12">
        <v>46269.0</v>
      </c>
      <c r="J73" s="10">
        <v>2.0</v>
      </c>
      <c r="K73" s="10" t="s">
        <v>37</v>
      </c>
      <c r="L73" s="13" t="s">
        <v>23</v>
      </c>
      <c r="M73" s="11" t="s">
        <v>242</v>
      </c>
    </row>
    <row r="74" ht="78.75" customHeight="1">
      <c r="A74" s="15" t="s">
        <v>189</v>
      </c>
      <c r="B74" s="10">
        <v>1.0</v>
      </c>
      <c r="C74" s="10" t="s">
        <v>165</v>
      </c>
      <c r="D74" s="10" t="s">
        <v>243</v>
      </c>
      <c r="E74" s="10" t="s">
        <v>41</v>
      </c>
      <c r="F74" s="10">
        <v>3.0</v>
      </c>
      <c r="G74" s="11" t="s">
        <v>244</v>
      </c>
      <c r="H74" s="12">
        <v>46269.0</v>
      </c>
      <c r="I74" s="12">
        <v>46272.0</v>
      </c>
      <c r="J74" s="10">
        <v>2.5</v>
      </c>
      <c r="K74" s="10" t="s">
        <v>37</v>
      </c>
      <c r="L74" s="13" t="s">
        <v>23</v>
      </c>
      <c r="M74" s="11" t="s">
        <v>245</v>
      </c>
    </row>
    <row r="75" ht="63.75" customHeight="1">
      <c r="A75" s="15" t="s">
        <v>189</v>
      </c>
      <c r="B75" s="10">
        <v>1.0</v>
      </c>
      <c r="C75" s="10" t="s">
        <v>165</v>
      </c>
      <c r="D75" s="10" t="s">
        <v>243</v>
      </c>
      <c r="E75" s="10" t="s">
        <v>37</v>
      </c>
      <c r="F75" s="10">
        <v>3.0</v>
      </c>
      <c r="G75" s="11" t="s">
        <v>246</v>
      </c>
      <c r="H75" s="12">
        <v>46269.0</v>
      </c>
      <c r="I75" s="12">
        <v>46272.0</v>
      </c>
      <c r="J75" s="10">
        <v>2.0</v>
      </c>
      <c r="K75" s="10" t="s">
        <v>37</v>
      </c>
      <c r="L75" s="13" t="s">
        <v>23</v>
      </c>
      <c r="M75" s="11" t="s">
        <v>247</v>
      </c>
    </row>
    <row r="76" ht="63.75" customHeight="1">
      <c r="A76" s="15" t="s">
        <v>189</v>
      </c>
      <c r="B76" s="10">
        <v>1.0</v>
      </c>
      <c r="C76" s="10" t="s">
        <v>165</v>
      </c>
      <c r="D76" s="10" t="s">
        <v>248</v>
      </c>
      <c r="E76" s="10" t="s">
        <v>37</v>
      </c>
      <c r="F76" s="10">
        <v>3.0</v>
      </c>
      <c r="G76" s="11" t="s">
        <v>249</v>
      </c>
      <c r="H76" s="12">
        <v>46272.0</v>
      </c>
      <c r="I76" s="12">
        <v>46273.0</v>
      </c>
      <c r="J76" s="10">
        <v>2.0</v>
      </c>
      <c r="K76" s="10" t="s">
        <v>37</v>
      </c>
      <c r="L76" s="13" t="s">
        <v>23</v>
      </c>
      <c r="M76" s="11" t="s">
        <v>250</v>
      </c>
    </row>
    <row r="77" ht="93.75" customHeight="1">
      <c r="A77" s="15" t="s">
        <v>189</v>
      </c>
      <c r="B77" s="10">
        <v>1.0</v>
      </c>
      <c r="C77" s="10" t="s">
        <v>165</v>
      </c>
      <c r="D77" s="10" t="s">
        <v>251</v>
      </c>
      <c r="E77" s="10" t="s">
        <v>37</v>
      </c>
      <c r="F77" s="10">
        <v>3.0</v>
      </c>
      <c r="G77" s="11" t="s">
        <v>252</v>
      </c>
      <c r="H77" s="12">
        <v>46274.0</v>
      </c>
      <c r="I77" s="12">
        <v>46275.0</v>
      </c>
      <c r="J77" s="10">
        <v>2.0</v>
      </c>
      <c r="K77" s="10" t="s">
        <v>37</v>
      </c>
      <c r="L77" s="13" t="s">
        <v>23</v>
      </c>
      <c r="M77" s="11" t="s">
        <v>253</v>
      </c>
    </row>
    <row r="78" ht="63.75" customHeight="1">
      <c r="A78" s="16" t="s">
        <v>254</v>
      </c>
      <c r="B78" s="10">
        <v>1.0</v>
      </c>
      <c r="C78" s="10" t="s">
        <v>165</v>
      </c>
      <c r="D78" s="10" t="s">
        <v>190</v>
      </c>
      <c r="E78" s="10" t="s">
        <v>37</v>
      </c>
      <c r="F78" s="10">
        <v>2.0</v>
      </c>
      <c r="G78" s="11" t="s">
        <v>255</v>
      </c>
      <c r="H78" s="12">
        <v>46281.0</v>
      </c>
      <c r="I78" s="12">
        <v>46282.0</v>
      </c>
      <c r="J78" s="10">
        <v>2.0</v>
      </c>
      <c r="K78" s="10" t="s">
        <v>37</v>
      </c>
      <c r="L78" s="13" t="s">
        <v>23</v>
      </c>
      <c r="M78" s="11" t="s">
        <v>192</v>
      </c>
    </row>
    <row r="79" ht="63.75" customHeight="1">
      <c r="A79" s="16" t="s">
        <v>254</v>
      </c>
      <c r="B79" s="10">
        <v>1.0</v>
      </c>
      <c r="C79" s="10" t="s">
        <v>141</v>
      </c>
      <c r="D79" s="10" t="s">
        <v>193</v>
      </c>
      <c r="E79" s="10" t="s">
        <v>44</v>
      </c>
      <c r="F79" s="10">
        <v>2.0</v>
      </c>
      <c r="G79" s="11" t="s">
        <v>255</v>
      </c>
      <c r="H79" s="12">
        <v>46281.0</v>
      </c>
      <c r="I79" s="12">
        <v>46282.0</v>
      </c>
      <c r="J79" s="10">
        <v>2.0</v>
      </c>
      <c r="K79" s="10" t="s">
        <v>37</v>
      </c>
      <c r="L79" s="13" t="s">
        <v>23</v>
      </c>
      <c r="M79" s="11" t="s">
        <v>195</v>
      </c>
    </row>
    <row r="80" ht="63.75" customHeight="1">
      <c r="A80" s="16" t="s">
        <v>254</v>
      </c>
      <c r="B80" s="10">
        <v>1.0</v>
      </c>
      <c r="C80" s="10" t="s">
        <v>165</v>
      </c>
      <c r="D80" s="10" t="s">
        <v>155</v>
      </c>
      <c r="E80" s="10" t="s">
        <v>44</v>
      </c>
      <c r="F80" s="10">
        <v>3.0</v>
      </c>
      <c r="G80" s="11" t="s">
        <v>256</v>
      </c>
      <c r="H80" s="12">
        <v>46282.0</v>
      </c>
      <c r="I80" s="12">
        <v>46286.0</v>
      </c>
      <c r="J80" s="10">
        <v>2.0</v>
      </c>
      <c r="K80" s="10" t="s">
        <v>37</v>
      </c>
      <c r="L80" s="13" t="s">
        <v>23</v>
      </c>
      <c r="M80" s="11" t="s">
        <v>197</v>
      </c>
    </row>
    <row r="81" ht="78.75" customHeight="1">
      <c r="A81" s="16" t="s">
        <v>254</v>
      </c>
      <c r="B81" s="10">
        <v>1.0</v>
      </c>
      <c r="C81" s="10" t="s">
        <v>165</v>
      </c>
      <c r="D81" s="10" t="s">
        <v>158</v>
      </c>
      <c r="E81" s="10" t="s">
        <v>41</v>
      </c>
      <c r="F81" s="10">
        <v>5.0</v>
      </c>
      <c r="G81" s="11" t="s">
        <v>257</v>
      </c>
      <c r="H81" s="12">
        <v>46281.0</v>
      </c>
      <c r="I81" s="12">
        <v>46286.0</v>
      </c>
      <c r="J81" s="10">
        <v>4.0</v>
      </c>
      <c r="K81" s="10" t="s">
        <v>37</v>
      </c>
      <c r="L81" s="13" t="s">
        <v>23</v>
      </c>
      <c r="M81" s="11" t="s">
        <v>199</v>
      </c>
    </row>
    <row r="82" ht="78.75" customHeight="1">
      <c r="A82" s="16" t="s">
        <v>254</v>
      </c>
      <c r="B82" s="10">
        <v>1.0</v>
      </c>
      <c r="C82" s="10" t="s">
        <v>165</v>
      </c>
      <c r="D82" s="10" t="s">
        <v>200</v>
      </c>
      <c r="E82" s="10" t="s">
        <v>21</v>
      </c>
      <c r="F82" s="10">
        <v>3.0</v>
      </c>
      <c r="G82" s="11" t="s">
        <v>258</v>
      </c>
      <c r="H82" s="12">
        <v>46282.0</v>
      </c>
      <c r="I82" s="12">
        <v>46286.0</v>
      </c>
      <c r="J82" s="10">
        <v>2.5</v>
      </c>
      <c r="K82" s="10" t="s">
        <v>37</v>
      </c>
      <c r="L82" s="13" t="s">
        <v>23</v>
      </c>
      <c r="M82" s="11" t="s">
        <v>201</v>
      </c>
    </row>
    <row r="83" ht="63.75" customHeight="1">
      <c r="A83" s="16" t="s">
        <v>254</v>
      </c>
      <c r="B83" s="10">
        <v>1.0</v>
      </c>
      <c r="C83" s="10" t="s">
        <v>165</v>
      </c>
      <c r="D83" s="10" t="s">
        <v>169</v>
      </c>
      <c r="E83" s="10" t="s">
        <v>44</v>
      </c>
      <c r="F83" s="10">
        <v>3.0</v>
      </c>
      <c r="G83" s="11" t="s">
        <v>259</v>
      </c>
      <c r="H83" s="12">
        <v>46286.0</v>
      </c>
      <c r="I83" s="12">
        <v>46286.0</v>
      </c>
      <c r="J83" s="10">
        <v>1.5</v>
      </c>
      <c r="K83" s="10" t="s">
        <v>37</v>
      </c>
      <c r="L83" s="13" t="s">
        <v>23</v>
      </c>
      <c r="M83" s="11" t="s">
        <v>203</v>
      </c>
    </row>
    <row r="84" ht="63.75" customHeight="1">
      <c r="A84" s="16" t="s">
        <v>254</v>
      </c>
      <c r="B84" s="10">
        <v>1.0</v>
      </c>
      <c r="C84" s="10" t="s">
        <v>204</v>
      </c>
      <c r="D84" s="10" t="s">
        <v>205</v>
      </c>
      <c r="E84" s="10" t="s">
        <v>44</v>
      </c>
      <c r="F84" s="10">
        <v>3.0</v>
      </c>
      <c r="G84" s="11" t="s">
        <v>260</v>
      </c>
      <c r="H84" s="12">
        <v>46287.0</v>
      </c>
      <c r="I84" s="12">
        <v>46287.0</v>
      </c>
      <c r="J84" s="10">
        <v>1.5</v>
      </c>
      <c r="K84" s="10" t="s">
        <v>37</v>
      </c>
      <c r="L84" s="13" t="s">
        <v>23</v>
      </c>
      <c r="M84" s="11" t="s">
        <v>207</v>
      </c>
    </row>
    <row r="85" ht="63.75" customHeight="1">
      <c r="A85" s="16" t="s">
        <v>254</v>
      </c>
      <c r="B85" s="10">
        <v>2.0</v>
      </c>
      <c r="C85" s="10" t="s">
        <v>204</v>
      </c>
      <c r="D85" s="10" t="s">
        <v>175</v>
      </c>
      <c r="E85" s="10" t="s">
        <v>37</v>
      </c>
      <c r="F85" s="10">
        <v>3.0</v>
      </c>
      <c r="G85" s="11" t="s">
        <v>261</v>
      </c>
      <c r="H85" s="12">
        <v>46281.0</v>
      </c>
      <c r="I85" s="12">
        <v>46297.0</v>
      </c>
      <c r="J85" s="10">
        <v>2.0</v>
      </c>
      <c r="K85" s="10" t="s">
        <v>37</v>
      </c>
      <c r="L85" s="13" t="s">
        <v>23</v>
      </c>
      <c r="M85" s="11" t="s">
        <v>209</v>
      </c>
    </row>
    <row r="86" ht="78.75" customHeight="1">
      <c r="A86" s="16" t="s">
        <v>254</v>
      </c>
      <c r="B86" s="10">
        <v>2.0</v>
      </c>
      <c r="C86" s="10" t="s">
        <v>204</v>
      </c>
      <c r="D86" s="10" t="s">
        <v>178</v>
      </c>
      <c r="E86" s="10" t="s">
        <v>37</v>
      </c>
      <c r="F86" s="10">
        <v>3.0</v>
      </c>
      <c r="G86" s="11" t="s">
        <v>262</v>
      </c>
      <c r="H86" s="12">
        <v>46281.0</v>
      </c>
      <c r="I86" s="12">
        <v>46297.0</v>
      </c>
      <c r="J86" s="10">
        <v>1.5</v>
      </c>
      <c r="K86" s="10" t="s">
        <v>37</v>
      </c>
      <c r="L86" s="13" t="s">
        <v>23</v>
      </c>
      <c r="M86" s="11" t="s">
        <v>211</v>
      </c>
    </row>
    <row r="87" ht="48.75" customHeight="1">
      <c r="A87" s="16" t="s">
        <v>254</v>
      </c>
      <c r="B87" s="10">
        <v>1.0</v>
      </c>
      <c r="C87" s="10" t="s">
        <v>180</v>
      </c>
      <c r="D87" s="10" t="s">
        <v>181</v>
      </c>
      <c r="E87" s="10" t="s">
        <v>41</v>
      </c>
      <c r="F87" s="10">
        <v>10.0</v>
      </c>
      <c r="G87" s="11" t="s">
        <v>263</v>
      </c>
      <c r="H87" s="12">
        <v>46287.0</v>
      </c>
      <c r="I87" s="12">
        <v>46289.0</v>
      </c>
      <c r="J87" s="10">
        <v>6.0</v>
      </c>
      <c r="K87" s="10" t="s">
        <v>37</v>
      </c>
      <c r="L87" s="13" t="s">
        <v>23</v>
      </c>
      <c r="M87" s="11" t="s">
        <v>213</v>
      </c>
    </row>
    <row r="88" ht="48.75" customHeight="1">
      <c r="A88" s="16" t="s">
        <v>254</v>
      </c>
      <c r="B88" s="10">
        <v>1.0</v>
      </c>
      <c r="C88" s="10" t="s">
        <v>180</v>
      </c>
      <c r="D88" s="10" t="s">
        <v>181</v>
      </c>
      <c r="E88" s="10" t="s">
        <v>44</v>
      </c>
      <c r="F88" s="10">
        <v>10.0</v>
      </c>
      <c r="G88" s="11" t="s">
        <v>263</v>
      </c>
      <c r="H88" s="12">
        <v>46287.0</v>
      </c>
      <c r="I88" s="12">
        <v>46289.0</v>
      </c>
      <c r="J88" s="10">
        <v>6.0</v>
      </c>
      <c r="K88" s="10" t="s">
        <v>37</v>
      </c>
      <c r="L88" s="13" t="s">
        <v>23</v>
      </c>
      <c r="M88" s="11" t="s">
        <v>214</v>
      </c>
    </row>
    <row r="89" ht="78.75" customHeight="1">
      <c r="A89" s="16" t="s">
        <v>254</v>
      </c>
      <c r="B89" s="10">
        <v>1.0</v>
      </c>
      <c r="C89" s="10" t="s">
        <v>165</v>
      </c>
      <c r="D89" s="10" t="s">
        <v>264</v>
      </c>
      <c r="E89" s="10" t="s">
        <v>81</v>
      </c>
      <c r="F89" s="10">
        <v>3.0</v>
      </c>
      <c r="G89" s="11" t="s">
        <v>265</v>
      </c>
      <c r="H89" s="12">
        <v>46289.0</v>
      </c>
      <c r="I89" s="12">
        <v>46290.0</v>
      </c>
      <c r="J89" s="10">
        <v>2.5</v>
      </c>
      <c r="K89" s="10" t="s">
        <v>37</v>
      </c>
      <c r="L89" s="13" t="s">
        <v>23</v>
      </c>
      <c r="M89" s="11" t="s">
        <v>266</v>
      </c>
    </row>
    <row r="90" ht="63.75" customHeight="1">
      <c r="A90" s="16" t="s">
        <v>254</v>
      </c>
      <c r="B90" s="10">
        <v>1.0</v>
      </c>
      <c r="C90" s="10" t="s">
        <v>165</v>
      </c>
      <c r="D90" s="10" t="s">
        <v>218</v>
      </c>
      <c r="E90" s="10" t="s">
        <v>21</v>
      </c>
      <c r="F90" s="10">
        <v>3.0</v>
      </c>
      <c r="G90" s="11" t="s">
        <v>267</v>
      </c>
      <c r="H90" s="12">
        <v>46287.0</v>
      </c>
      <c r="I90" s="12">
        <v>46288.0</v>
      </c>
      <c r="J90" s="10">
        <v>2.0</v>
      </c>
      <c r="K90" s="10" t="s">
        <v>37</v>
      </c>
      <c r="L90" s="13" t="s">
        <v>23</v>
      </c>
      <c r="M90" s="11" t="s">
        <v>220</v>
      </c>
    </row>
    <row r="91" ht="63.75" customHeight="1">
      <c r="A91" s="16" t="s">
        <v>254</v>
      </c>
      <c r="B91" s="10">
        <v>1.0</v>
      </c>
      <c r="C91" s="10" t="s">
        <v>165</v>
      </c>
      <c r="D91" s="10" t="s">
        <v>221</v>
      </c>
      <c r="E91" s="10" t="s">
        <v>41</v>
      </c>
      <c r="F91" s="10">
        <v>3.0</v>
      </c>
      <c r="G91" s="11" t="s">
        <v>268</v>
      </c>
      <c r="H91" s="12">
        <v>46290.0</v>
      </c>
      <c r="I91" s="12">
        <v>46293.0</v>
      </c>
      <c r="J91" s="10">
        <v>2.5</v>
      </c>
      <c r="K91" s="10" t="s">
        <v>37</v>
      </c>
      <c r="L91" s="13" t="s">
        <v>23</v>
      </c>
      <c r="M91" s="11" t="s">
        <v>223</v>
      </c>
    </row>
    <row r="92" ht="78.75" customHeight="1">
      <c r="A92" s="16" t="s">
        <v>254</v>
      </c>
      <c r="B92" s="10">
        <v>1.0</v>
      </c>
      <c r="C92" s="10" t="s">
        <v>165</v>
      </c>
      <c r="D92" s="10" t="s">
        <v>224</v>
      </c>
      <c r="E92" s="10" t="s">
        <v>26</v>
      </c>
      <c r="F92" s="10">
        <v>3.0</v>
      </c>
      <c r="G92" s="11" t="s">
        <v>269</v>
      </c>
      <c r="H92" s="12">
        <v>46294.0</v>
      </c>
      <c r="I92" s="12">
        <v>46294.0</v>
      </c>
      <c r="J92" s="10">
        <v>2.0</v>
      </c>
      <c r="K92" s="10" t="s">
        <v>37</v>
      </c>
      <c r="L92" s="13" t="s">
        <v>23</v>
      </c>
      <c r="M92" s="11" t="s">
        <v>226</v>
      </c>
    </row>
    <row r="93" ht="78.75" customHeight="1">
      <c r="A93" s="16" t="s">
        <v>254</v>
      </c>
      <c r="B93" s="10">
        <v>1.0</v>
      </c>
      <c r="C93" s="10" t="s">
        <v>165</v>
      </c>
      <c r="D93" s="10" t="s">
        <v>227</v>
      </c>
      <c r="E93" s="10" t="s">
        <v>37</v>
      </c>
      <c r="F93" s="10">
        <v>3.0</v>
      </c>
      <c r="G93" s="11" t="s">
        <v>267</v>
      </c>
      <c r="H93" s="12">
        <v>46287.0</v>
      </c>
      <c r="I93" s="12">
        <v>46288.0</v>
      </c>
      <c r="J93" s="10">
        <v>2.0</v>
      </c>
      <c r="K93" s="10" t="s">
        <v>37</v>
      </c>
      <c r="L93" s="13" t="s">
        <v>23</v>
      </c>
      <c r="M93" s="11" t="s">
        <v>229</v>
      </c>
    </row>
    <row r="94" ht="63.75" customHeight="1">
      <c r="A94" s="16" t="s">
        <v>254</v>
      </c>
      <c r="B94" s="10">
        <v>1.0</v>
      </c>
      <c r="C94" s="10" t="s">
        <v>165</v>
      </c>
      <c r="D94" s="10" t="s">
        <v>230</v>
      </c>
      <c r="E94" s="10" t="s">
        <v>37</v>
      </c>
      <c r="F94" s="10">
        <v>3.0</v>
      </c>
      <c r="G94" s="11" t="s">
        <v>270</v>
      </c>
      <c r="H94" s="12">
        <v>46296.0</v>
      </c>
      <c r="I94" s="12">
        <v>46297.0</v>
      </c>
      <c r="J94" s="10">
        <v>2.5</v>
      </c>
      <c r="K94" s="10" t="s">
        <v>37</v>
      </c>
      <c r="L94" s="13" t="s">
        <v>23</v>
      </c>
      <c r="M94" s="11" t="s">
        <v>271</v>
      </c>
    </row>
    <row r="95" ht="78.75" customHeight="1">
      <c r="A95" s="16" t="s">
        <v>254</v>
      </c>
      <c r="B95" s="10">
        <v>1.0</v>
      </c>
      <c r="C95" s="10" t="s">
        <v>165</v>
      </c>
      <c r="D95" s="10" t="s">
        <v>233</v>
      </c>
      <c r="E95" s="10" t="s">
        <v>81</v>
      </c>
      <c r="F95" s="10">
        <v>3.0</v>
      </c>
      <c r="G95" s="11" t="s">
        <v>272</v>
      </c>
      <c r="H95" s="12">
        <v>46293.0</v>
      </c>
      <c r="I95" s="12">
        <v>46294.0</v>
      </c>
      <c r="J95" s="10">
        <v>2.5</v>
      </c>
      <c r="K95" s="10" t="s">
        <v>37</v>
      </c>
      <c r="L95" s="13" t="s">
        <v>23</v>
      </c>
      <c r="M95" s="11" t="s">
        <v>235</v>
      </c>
    </row>
    <row r="96" ht="63.75" customHeight="1">
      <c r="A96" s="16" t="s">
        <v>254</v>
      </c>
      <c r="B96" s="10">
        <v>1.0</v>
      </c>
      <c r="C96" s="10" t="s">
        <v>165</v>
      </c>
      <c r="D96" s="10" t="s">
        <v>236</v>
      </c>
      <c r="E96" s="10" t="s">
        <v>21</v>
      </c>
      <c r="F96" s="10">
        <v>3.0</v>
      </c>
      <c r="G96" s="11" t="s">
        <v>273</v>
      </c>
      <c r="H96" s="12">
        <v>46290.0</v>
      </c>
      <c r="I96" s="12">
        <v>46293.0</v>
      </c>
      <c r="J96" s="10">
        <v>2.0</v>
      </c>
      <c r="K96" s="10" t="s">
        <v>37</v>
      </c>
      <c r="L96" s="13" t="s">
        <v>23</v>
      </c>
      <c r="M96" s="11" t="s">
        <v>238</v>
      </c>
    </row>
    <row r="97" ht="78.75" customHeight="1">
      <c r="A97" s="16" t="s">
        <v>254</v>
      </c>
      <c r="B97" s="10">
        <v>1.0</v>
      </c>
      <c r="C97" s="10" t="s">
        <v>165</v>
      </c>
      <c r="D97" s="10" t="s">
        <v>239</v>
      </c>
      <c r="E97" s="10" t="s">
        <v>37</v>
      </c>
      <c r="F97" s="10">
        <v>3.0</v>
      </c>
      <c r="G97" s="11" t="s">
        <v>274</v>
      </c>
      <c r="H97" s="12">
        <v>46294.0</v>
      </c>
      <c r="I97" s="12">
        <v>46295.0</v>
      </c>
      <c r="J97" s="10">
        <v>2.0</v>
      </c>
      <c r="K97" s="10" t="s">
        <v>37</v>
      </c>
      <c r="L97" s="13" t="s">
        <v>23</v>
      </c>
      <c r="M97" s="11" t="s">
        <v>241</v>
      </c>
    </row>
    <row r="98" ht="63.75" customHeight="1">
      <c r="A98" s="16" t="s">
        <v>254</v>
      </c>
      <c r="B98" s="10">
        <v>1.0</v>
      </c>
      <c r="C98" s="10" t="s">
        <v>165</v>
      </c>
      <c r="D98" s="10" t="s">
        <v>239</v>
      </c>
      <c r="E98" s="10" t="s">
        <v>41</v>
      </c>
      <c r="F98" s="10">
        <v>3.0</v>
      </c>
      <c r="G98" s="11" t="s">
        <v>274</v>
      </c>
      <c r="H98" s="12">
        <v>46294.0</v>
      </c>
      <c r="I98" s="12">
        <v>46295.0</v>
      </c>
      <c r="J98" s="10">
        <v>2.0</v>
      </c>
      <c r="K98" s="10" t="s">
        <v>37</v>
      </c>
      <c r="L98" s="13" t="s">
        <v>23</v>
      </c>
      <c r="M98" s="11" t="s">
        <v>242</v>
      </c>
    </row>
    <row r="99" ht="78.75" customHeight="1">
      <c r="A99" s="16" t="s">
        <v>254</v>
      </c>
      <c r="B99" s="10">
        <v>1.0</v>
      </c>
      <c r="C99" s="10" t="s">
        <v>165</v>
      </c>
      <c r="D99" s="10" t="s">
        <v>243</v>
      </c>
      <c r="E99" s="10" t="s">
        <v>41</v>
      </c>
      <c r="F99" s="10">
        <v>3.0</v>
      </c>
      <c r="G99" s="11" t="s">
        <v>268</v>
      </c>
      <c r="H99" s="12">
        <v>46290.0</v>
      </c>
      <c r="I99" s="12">
        <v>46293.0</v>
      </c>
      <c r="J99" s="10">
        <v>2.5</v>
      </c>
      <c r="K99" s="10" t="s">
        <v>37</v>
      </c>
      <c r="L99" s="13" t="s">
        <v>23</v>
      </c>
      <c r="M99" s="11" t="s">
        <v>245</v>
      </c>
    </row>
    <row r="100" ht="63.75" customHeight="1">
      <c r="A100" s="16" t="s">
        <v>254</v>
      </c>
      <c r="B100" s="10">
        <v>1.0</v>
      </c>
      <c r="C100" s="10" t="s">
        <v>165</v>
      </c>
      <c r="D100" s="10" t="s">
        <v>243</v>
      </c>
      <c r="E100" s="10" t="s">
        <v>37</v>
      </c>
      <c r="F100" s="10">
        <v>3.0</v>
      </c>
      <c r="G100" s="11" t="s">
        <v>273</v>
      </c>
      <c r="H100" s="12">
        <v>46290.0</v>
      </c>
      <c r="I100" s="12">
        <v>46293.0</v>
      </c>
      <c r="J100" s="10">
        <v>2.0</v>
      </c>
      <c r="K100" s="10" t="s">
        <v>37</v>
      </c>
      <c r="L100" s="13" t="s">
        <v>23</v>
      </c>
      <c r="M100" s="11" t="s">
        <v>247</v>
      </c>
    </row>
    <row r="101" ht="63.75" customHeight="1">
      <c r="A101" s="16" t="s">
        <v>254</v>
      </c>
      <c r="B101" s="10">
        <v>1.0</v>
      </c>
      <c r="C101" s="10" t="s">
        <v>165</v>
      </c>
      <c r="D101" s="10" t="s">
        <v>248</v>
      </c>
      <c r="E101" s="10" t="s">
        <v>37</v>
      </c>
      <c r="F101" s="10">
        <v>3.0</v>
      </c>
      <c r="G101" s="11" t="s">
        <v>275</v>
      </c>
      <c r="H101" s="12">
        <v>46295.0</v>
      </c>
      <c r="I101" s="12">
        <v>46296.0</v>
      </c>
      <c r="J101" s="10">
        <v>2.0</v>
      </c>
      <c r="K101" s="10" t="s">
        <v>37</v>
      </c>
      <c r="L101" s="13" t="s">
        <v>23</v>
      </c>
      <c r="M101" s="11" t="s">
        <v>250</v>
      </c>
    </row>
    <row r="102" ht="93.75" customHeight="1">
      <c r="A102" s="16" t="s">
        <v>254</v>
      </c>
      <c r="B102" s="10">
        <v>1.0</v>
      </c>
      <c r="C102" s="10" t="s">
        <v>165</v>
      </c>
      <c r="D102" s="10" t="s">
        <v>251</v>
      </c>
      <c r="E102" s="10" t="s">
        <v>37</v>
      </c>
      <c r="F102" s="10">
        <v>3.0</v>
      </c>
      <c r="G102" s="11" t="s">
        <v>276</v>
      </c>
      <c r="H102" s="12">
        <v>46296.0</v>
      </c>
      <c r="I102" s="12">
        <v>46297.0</v>
      </c>
      <c r="J102" s="10">
        <v>2.0</v>
      </c>
      <c r="K102" s="10" t="s">
        <v>37</v>
      </c>
      <c r="L102" s="13" t="s">
        <v>23</v>
      </c>
      <c r="M102" s="11" t="s">
        <v>277</v>
      </c>
    </row>
    <row r="103" ht="15.75" customHeight="1"/>
    <row r="104" ht="15.75" customHeight="1">
      <c r="E104" s="17" t="s">
        <v>278</v>
      </c>
      <c r="F104" s="17">
        <f>SUM(F4:F102)</f>
        <v>331</v>
      </c>
      <c r="J104" s="17">
        <f>SUM(J4:J102)</f>
        <v>272.5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M$102"/>
  <mergeCells count="4">
    <mergeCell ref="A1:J1"/>
    <mergeCell ref="A2:F2"/>
    <mergeCell ref="H2:J2"/>
    <mergeCell ref="K2:M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3" width="11.0"/>
    <col customWidth="1" min="4" max="4" width="12.0"/>
    <col customWidth="1" min="5" max="6" width="15.0"/>
    <col customWidth="1" min="7" max="10" width="16.0"/>
    <col customWidth="1" min="11" max="11" width="8.71"/>
    <col customWidth="1" min="12" max="12" width="44.0"/>
    <col customWidth="1" min="13" max="13" width="12.0"/>
    <col customWidth="1" min="14" max="26" width="8.71"/>
  </cols>
  <sheetData>
    <row r="1">
      <c r="A1" s="18" t="s">
        <v>279</v>
      </c>
    </row>
    <row r="2" ht="57.75" customHeight="1">
      <c r="A2" s="19"/>
    </row>
    <row r="4">
      <c r="A4" s="8" t="s">
        <v>280</v>
      </c>
      <c r="B4" s="8" t="s">
        <v>281</v>
      </c>
      <c r="C4" s="8" t="s">
        <v>282</v>
      </c>
      <c r="D4" s="8" t="s">
        <v>283</v>
      </c>
      <c r="E4" s="8" t="s">
        <v>284</v>
      </c>
      <c r="F4" s="8" t="s">
        <v>285</v>
      </c>
      <c r="G4" s="8" t="s">
        <v>286</v>
      </c>
      <c r="H4" s="8" t="s">
        <v>287</v>
      </c>
      <c r="I4" s="8" t="s">
        <v>288</v>
      </c>
      <c r="J4" s="8" t="s">
        <v>289</v>
      </c>
      <c r="L4" s="20" t="s">
        <v>290</v>
      </c>
    </row>
    <row r="5">
      <c r="A5" s="9" t="s">
        <v>18</v>
      </c>
      <c r="B5" s="10">
        <v>1.0</v>
      </c>
      <c r="C5" s="10">
        <v>1.0</v>
      </c>
      <c r="D5" s="12">
        <v>46098.0</v>
      </c>
      <c r="E5" s="21">
        <v>2.0</v>
      </c>
      <c r="F5" s="21">
        <v>2.0</v>
      </c>
      <c r="G5" s="22">
        <f t="shared" ref="G5:H5" si="1">E5</f>
        <v>2</v>
      </c>
      <c r="H5" s="22">
        <f t="shared" si="1"/>
        <v>2</v>
      </c>
      <c r="I5" s="22">
        <f t="shared" ref="I5:J5" si="2">ROUND($M$9-G5,4)</f>
        <v>329</v>
      </c>
      <c r="J5" s="22">
        <f t="shared" si="2"/>
        <v>329</v>
      </c>
      <c r="L5" s="23" t="s">
        <v>291</v>
      </c>
      <c r="M5" s="24">
        <f>SUMIFS(Seguimiento_Sprint!$F$4:$F$102,Seguimiento_Sprint!$A$4:$A$102,"Documento 0")</f>
        <v>86</v>
      </c>
    </row>
    <row r="6">
      <c r="A6" s="9" t="s">
        <v>18</v>
      </c>
      <c r="B6" s="10">
        <v>2.0</v>
      </c>
      <c r="C6" s="10">
        <v>2.0</v>
      </c>
      <c r="D6" s="12">
        <v>46099.0</v>
      </c>
      <c r="E6" s="21">
        <v>0.0</v>
      </c>
      <c r="F6" s="21">
        <v>0.0</v>
      </c>
      <c r="G6" s="22">
        <f t="shared" ref="G6:H6" si="3">G5+E6</f>
        <v>2</v>
      </c>
      <c r="H6" s="22">
        <f t="shared" si="3"/>
        <v>2</v>
      </c>
      <c r="I6" s="22">
        <f t="shared" ref="I6:J6" si="4">ROUND($M$9-G6,4)</f>
        <v>329</v>
      </c>
      <c r="J6" s="22">
        <f t="shared" si="4"/>
        <v>329</v>
      </c>
      <c r="L6" s="23" t="s">
        <v>292</v>
      </c>
      <c r="M6" s="24">
        <f>SUMIFS(Seguimiento_Sprint!$F$4:$F$102,Seguimiento_Sprint!$A$4:$A$102,"Incremento 1")</f>
        <v>67</v>
      </c>
    </row>
    <row r="7">
      <c r="A7" s="9" t="s">
        <v>18</v>
      </c>
      <c r="B7" s="10">
        <v>3.0</v>
      </c>
      <c r="C7" s="10">
        <v>3.0</v>
      </c>
      <c r="D7" s="12">
        <v>46100.0</v>
      </c>
      <c r="E7" s="21">
        <v>0.0</v>
      </c>
      <c r="F7" s="21">
        <v>0.0</v>
      </c>
      <c r="G7" s="22">
        <f t="shared" ref="G7:H7" si="5">G6+E7</f>
        <v>2</v>
      </c>
      <c r="H7" s="22">
        <f t="shared" si="5"/>
        <v>2</v>
      </c>
      <c r="I7" s="22">
        <f t="shared" ref="I7:J7" si="6">ROUND($M$9-G7,4)</f>
        <v>329</v>
      </c>
      <c r="J7" s="22">
        <f t="shared" si="6"/>
        <v>329</v>
      </c>
      <c r="L7" s="23" t="s">
        <v>293</v>
      </c>
      <c r="M7" s="24">
        <f>SUMIFS(Seguimiento_Sprint!$F$4:$F$102,Seguimiento_Sprint!$A$4:$A$102,"Incremento 2")</f>
        <v>89</v>
      </c>
    </row>
    <row r="8">
      <c r="A8" s="9" t="s">
        <v>18</v>
      </c>
      <c r="B8" s="10">
        <v>4.0</v>
      </c>
      <c r="C8" s="10">
        <v>4.0</v>
      </c>
      <c r="D8" s="12">
        <v>46101.0</v>
      </c>
      <c r="E8" s="21">
        <v>0.0</v>
      </c>
      <c r="F8" s="21">
        <v>0.0</v>
      </c>
      <c r="G8" s="22">
        <f t="shared" ref="G8:H8" si="7">G7+E8</f>
        <v>2</v>
      </c>
      <c r="H8" s="22">
        <f t="shared" si="7"/>
        <v>2</v>
      </c>
      <c r="I8" s="22">
        <f t="shared" ref="I8:J8" si="8">ROUND($M$9-G8,4)</f>
        <v>329</v>
      </c>
      <c r="J8" s="22">
        <f t="shared" si="8"/>
        <v>329</v>
      </c>
      <c r="L8" s="23" t="s">
        <v>294</v>
      </c>
      <c r="M8" s="24">
        <f>SUMIFS(Seguimiento_Sprint!$F$4:$F$102,Seguimiento_Sprint!$A$4:$A$102,"Incremento 3")</f>
        <v>89</v>
      </c>
    </row>
    <row r="9">
      <c r="A9" s="9" t="s">
        <v>18</v>
      </c>
      <c r="B9" s="10">
        <v>5.0</v>
      </c>
      <c r="C9" s="10">
        <v>5.0</v>
      </c>
      <c r="D9" s="12">
        <v>46102.0</v>
      </c>
      <c r="E9" s="21">
        <v>4.0</v>
      </c>
      <c r="F9" s="21">
        <v>4.0</v>
      </c>
      <c r="G9" s="22">
        <f t="shared" ref="G9:H9" si="9">G8+E9</f>
        <v>6</v>
      </c>
      <c r="H9" s="22">
        <f t="shared" si="9"/>
        <v>6</v>
      </c>
      <c r="I9" s="22">
        <f t="shared" ref="I9:J9" si="10">ROUND($M$9-G9,4)</f>
        <v>325</v>
      </c>
      <c r="J9" s="22">
        <f t="shared" si="10"/>
        <v>325</v>
      </c>
      <c r="L9" s="20" t="s">
        <v>295</v>
      </c>
      <c r="M9" s="20">
        <f>SUM(M5:M8)</f>
        <v>331</v>
      </c>
    </row>
    <row r="10">
      <c r="A10" s="9" t="s">
        <v>18</v>
      </c>
      <c r="B10" s="10">
        <v>6.0</v>
      </c>
      <c r="C10" s="10">
        <v>6.0</v>
      </c>
      <c r="D10" s="12">
        <v>46103.0</v>
      </c>
      <c r="E10" s="21">
        <v>2.0</v>
      </c>
      <c r="F10" s="21">
        <v>2.0</v>
      </c>
      <c r="G10" s="22">
        <f t="shared" ref="G10:H10" si="11">G9+E10</f>
        <v>8</v>
      </c>
      <c r="H10" s="22">
        <f t="shared" si="11"/>
        <v>8</v>
      </c>
      <c r="I10" s="22">
        <f t="shared" ref="I10:J10" si="12">ROUND($M$9-G10,4)</f>
        <v>323</v>
      </c>
      <c r="J10" s="22">
        <f t="shared" si="12"/>
        <v>323</v>
      </c>
    </row>
    <row r="11">
      <c r="A11" s="9" t="s">
        <v>18</v>
      </c>
      <c r="B11" s="10">
        <v>7.0</v>
      </c>
      <c r="C11" s="10">
        <v>7.0</v>
      </c>
      <c r="D11" s="12">
        <v>46104.0</v>
      </c>
      <c r="E11" s="21">
        <v>3.0</v>
      </c>
      <c r="F11" s="21">
        <v>3.0</v>
      </c>
      <c r="G11" s="22">
        <f t="shared" ref="G11:H11" si="13">G10+E11</f>
        <v>11</v>
      </c>
      <c r="H11" s="22">
        <f t="shared" si="13"/>
        <v>11</v>
      </c>
      <c r="I11" s="22">
        <f t="shared" ref="I11:J11" si="14">ROUND($M$9-G11,4)</f>
        <v>320</v>
      </c>
      <c r="J11" s="22">
        <f t="shared" si="14"/>
        <v>320</v>
      </c>
    </row>
    <row r="12">
      <c r="A12" s="9" t="s">
        <v>18</v>
      </c>
      <c r="B12" s="10">
        <v>8.0</v>
      </c>
      <c r="C12" s="10">
        <v>8.0</v>
      </c>
      <c r="D12" s="12">
        <v>46105.0</v>
      </c>
      <c r="E12" s="21">
        <v>4.0</v>
      </c>
      <c r="F12" s="21">
        <v>4.0</v>
      </c>
      <c r="G12" s="22">
        <f t="shared" ref="G12:H12" si="15">G11+E12</f>
        <v>15</v>
      </c>
      <c r="H12" s="22">
        <f t="shared" si="15"/>
        <v>15</v>
      </c>
      <c r="I12" s="22">
        <f t="shared" ref="I12:J12" si="16">ROUND($M$9-G12,4)</f>
        <v>316</v>
      </c>
      <c r="J12" s="22">
        <f t="shared" si="16"/>
        <v>316</v>
      </c>
    </row>
    <row r="13">
      <c r="A13" s="9" t="s">
        <v>18</v>
      </c>
      <c r="B13" s="10">
        <v>9.0</v>
      </c>
      <c r="C13" s="10">
        <v>9.0</v>
      </c>
      <c r="D13" s="12">
        <v>46106.0</v>
      </c>
      <c r="E13" s="21">
        <v>7.0</v>
      </c>
      <c r="F13" s="21">
        <v>7.0</v>
      </c>
      <c r="G13" s="22">
        <f t="shared" ref="G13:H13" si="17">G12+E13</f>
        <v>22</v>
      </c>
      <c r="H13" s="22">
        <f t="shared" si="17"/>
        <v>22</v>
      </c>
      <c r="I13" s="22">
        <f t="shared" ref="I13:J13" si="18">ROUND($M$9-G13,4)</f>
        <v>309</v>
      </c>
      <c r="J13" s="22">
        <f t="shared" si="18"/>
        <v>309</v>
      </c>
    </row>
    <row r="14">
      <c r="A14" s="9" t="s">
        <v>18</v>
      </c>
      <c r="B14" s="10">
        <v>10.0</v>
      </c>
      <c r="C14" s="10">
        <v>10.0</v>
      </c>
      <c r="D14" s="12">
        <v>46107.0</v>
      </c>
      <c r="E14" s="21">
        <v>1.0</v>
      </c>
      <c r="F14" s="21">
        <v>1.0</v>
      </c>
      <c r="G14" s="22">
        <f t="shared" ref="G14:H14" si="19">G13+E14</f>
        <v>23</v>
      </c>
      <c r="H14" s="22">
        <f t="shared" si="19"/>
        <v>23</v>
      </c>
      <c r="I14" s="22">
        <f t="shared" ref="I14:J14" si="20">ROUND($M$9-G14,4)</f>
        <v>308</v>
      </c>
      <c r="J14" s="22">
        <f t="shared" si="20"/>
        <v>308</v>
      </c>
    </row>
    <row r="15">
      <c r="A15" s="9" t="s">
        <v>18</v>
      </c>
      <c r="B15" s="10">
        <v>11.0</v>
      </c>
      <c r="C15" s="10">
        <v>11.0</v>
      </c>
      <c r="D15" s="12">
        <v>46108.0</v>
      </c>
      <c r="E15" s="21">
        <v>4.33333333333333</v>
      </c>
      <c r="F15" s="21">
        <v>4.5</v>
      </c>
      <c r="G15" s="22">
        <f t="shared" ref="G15:H15" si="21">G14+E15</f>
        <v>27.33333333</v>
      </c>
      <c r="H15" s="22">
        <f t="shared" si="21"/>
        <v>27.5</v>
      </c>
      <c r="I15" s="22">
        <f t="shared" ref="I15:J15" si="22">ROUND($M$9-G15,4)</f>
        <v>303.6667</v>
      </c>
      <c r="J15" s="22">
        <f t="shared" si="22"/>
        <v>303.5</v>
      </c>
    </row>
    <row r="16">
      <c r="A16" s="9" t="s">
        <v>18</v>
      </c>
      <c r="B16" s="10">
        <v>12.0</v>
      </c>
      <c r="C16" s="10">
        <v>12.0</v>
      </c>
      <c r="D16" s="12">
        <v>46109.0</v>
      </c>
      <c r="E16" s="21">
        <v>2.0</v>
      </c>
      <c r="F16" s="21">
        <v>2.0</v>
      </c>
      <c r="G16" s="22">
        <f t="shared" ref="G16:H16" si="23">G15+E16</f>
        <v>29.33333333</v>
      </c>
      <c r="H16" s="22">
        <f t="shared" si="23"/>
        <v>29.5</v>
      </c>
      <c r="I16" s="22">
        <f t="shared" ref="I16:J16" si="24">ROUND($M$9-G16,4)</f>
        <v>301.6667</v>
      </c>
      <c r="J16" s="22">
        <f t="shared" si="24"/>
        <v>301.5</v>
      </c>
    </row>
    <row r="17">
      <c r="A17" s="9" t="s">
        <v>18</v>
      </c>
      <c r="B17" s="10">
        <v>13.0</v>
      </c>
      <c r="C17" s="10">
        <v>13.0</v>
      </c>
      <c r="D17" s="12">
        <v>46110.0</v>
      </c>
      <c r="E17" s="21">
        <v>0.0</v>
      </c>
      <c r="F17" s="21">
        <v>0.0</v>
      </c>
      <c r="G17" s="22">
        <f t="shared" ref="G17:H17" si="25">G16+E17</f>
        <v>29.33333333</v>
      </c>
      <c r="H17" s="22">
        <f t="shared" si="25"/>
        <v>29.5</v>
      </c>
      <c r="I17" s="22">
        <f t="shared" ref="I17:J17" si="26">ROUND($M$9-G17,4)</f>
        <v>301.6667</v>
      </c>
      <c r="J17" s="22">
        <f t="shared" si="26"/>
        <v>301.5</v>
      </c>
    </row>
    <row r="18">
      <c r="A18" s="9" t="s">
        <v>18</v>
      </c>
      <c r="B18" s="10">
        <v>14.0</v>
      </c>
      <c r="C18" s="10">
        <v>14.0</v>
      </c>
      <c r="D18" s="12">
        <v>46111.0</v>
      </c>
      <c r="E18" s="21">
        <v>2.33333333333333</v>
      </c>
      <c r="F18" s="21">
        <v>2.5</v>
      </c>
      <c r="G18" s="22">
        <f t="shared" ref="G18:H18" si="27">G17+E18</f>
        <v>31.66666667</v>
      </c>
      <c r="H18" s="22">
        <f t="shared" si="27"/>
        <v>32</v>
      </c>
      <c r="I18" s="22">
        <f t="shared" ref="I18:J18" si="28">ROUND($M$9-G18,4)</f>
        <v>299.3333</v>
      </c>
      <c r="J18" s="22">
        <f t="shared" si="28"/>
        <v>299</v>
      </c>
    </row>
    <row r="19">
      <c r="A19" s="9" t="s">
        <v>18</v>
      </c>
      <c r="B19" s="10">
        <v>15.0</v>
      </c>
      <c r="C19" s="10">
        <v>15.0</v>
      </c>
      <c r="D19" s="12">
        <v>46112.0</v>
      </c>
      <c r="E19" s="21">
        <v>7.66666666666667</v>
      </c>
      <c r="F19" s="21">
        <v>7.5</v>
      </c>
      <c r="G19" s="22">
        <f t="shared" ref="G19:H19" si="29">G18+E19</f>
        <v>39.33333333</v>
      </c>
      <c r="H19" s="22">
        <f t="shared" si="29"/>
        <v>39.5</v>
      </c>
      <c r="I19" s="22">
        <f t="shared" ref="I19:J19" si="30">ROUND($M$9-G19,4)</f>
        <v>291.6667</v>
      </c>
      <c r="J19" s="22">
        <f t="shared" si="30"/>
        <v>291.5</v>
      </c>
    </row>
    <row r="20">
      <c r="A20" s="9" t="s">
        <v>18</v>
      </c>
      <c r="B20" s="10">
        <v>16.0</v>
      </c>
      <c r="C20" s="10">
        <v>16.0</v>
      </c>
      <c r="D20" s="12">
        <v>46113.0</v>
      </c>
      <c r="E20" s="21">
        <v>8.5</v>
      </c>
      <c r="F20" s="21">
        <v>8.0</v>
      </c>
      <c r="G20" s="22">
        <f t="shared" ref="G20:H20" si="31">G19+E20</f>
        <v>47.83333333</v>
      </c>
      <c r="H20" s="22">
        <f t="shared" si="31"/>
        <v>47.5</v>
      </c>
      <c r="I20" s="22">
        <f t="shared" ref="I20:J20" si="32">ROUND($M$9-G20,4)</f>
        <v>283.1667</v>
      </c>
      <c r="J20" s="22">
        <f t="shared" si="32"/>
        <v>283.5</v>
      </c>
    </row>
    <row r="21" ht="15.75" customHeight="1">
      <c r="A21" s="9" t="s">
        <v>18</v>
      </c>
      <c r="B21" s="10">
        <v>17.0</v>
      </c>
      <c r="C21" s="10">
        <v>17.0</v>
      </c>
      <c r="D21" s="12">
        <v>46114.0</v>
      </c>
      <c r="E21" s="21">
        <v>1.0</v>
      </c>
      <c r="F21" s="21">
        <v>1.0</v>
      </c>
      <c r="G21" s="22">
        <f t="shared" ref="G21:H21" si="33">G20+E21</f>
        <v>48.83333333</v>
      </c>
      <c r="H21" s="22">
        <f t="shared" si="33"/>
        <v>48.5</v>
      </c>
      <c r="I21" s="22">
        <f t="shared" ref="I21:J21" si="34">ROUND($M$9-G21,4)</f>
        <v>282.1667</v>
      </c>
      <c r="J21" s="22">
        <f t="shared" si="34"/>
        <v>282.5</v>
      </c>
    </row>
    <row r="22" ht="15.75" customHeight="1">
      <c r="A22" s="9" t="s">
        <v>18</v>
      </c>
      <c r="B22" s="10">
        <v>18.0</v>
      </c>
      <c r="C22" s="10">
        <v>18.0</v>
      </c>
      <c r="D22" s="12">
        <v>46115.0</v>
      </c>
      <c r="E22" s="21">
        <v>1.0</v>
      </c>
      <c r="F22" s="21">
        <v>1.0</v>
      </c>
      <c r="G22" s="22">
        <f t="shared" ref="G22:H22" si="35">G21+E22</f>
        <v>49.83333333</v>
      </c>
      <c r="H22" s="22">
        <f t="shared" si="35"/>
        <v>49.5</v>
      </c>
      <c r="I22" s="22">
        <f t="shared" ref="I22:J22" si="36">ROUND($M$9-G22,4)</f>
        <v>281.1667</v>
      </c>
      <c r="J22" s="22">
        <f t="shared" si="36"/>
        <v>281.5</v>
      </c>
    </row>
    <row r="23" ht="15.75" customHeight="1">
      <c r="A23" s="9" t="s">
        <v>18</v>
      </c>
      <c r="B23" s="10">
        <v>19.0</v>
      </c>
      <c r="C23" s="10">
        <v>19.0</v>
      </c>
      <c r="D23" s="12">
        <v>46116.0</v>
      </c>
      <c r="E23" s="21">
        <v>2.5</v>
      </c>
      <c r="F23" s="21">
        <v>2.0</v>
      </c>
      <c r="G23" s="22">
        <f t="shared" ref="G23:H23" si="37">G22+E23</f>
        <v>52.33333333</v>
      </c>
      <c r="H23" s="22">
        <f t="shared" si="37"/>
        <v>51.5</v>
      </c>
      <c r="I23" s="22">
        <f t="shared" ref="I23:J23" si="38">ROUND($M$9-G23,4)</f>
        <v>278.6667</v>
      </c>
      <c r="J23" s="22">
        <f t="shared" si="38"/>
        <v>279.5</v>
      </c>
    </row>
    <row r="24" ht="15.75" customHeight="1">
      <c r="A24" s="9" t="s">
        <v>18</v>
      </c>
      <c r="B24" s="10">
        <v>20.0</v>
      </c>
      <c r="C24" s="10">
        <v>20.0</v>
      </c>
      <c r="D24" s="12">
        <v>46117.0</v>
      </c>
      <c r="E24" s="21">
        <v>4.0</v>
      </c>
      <c r="F24" s="21">
        <v>4.0</v>
      </c>
      <c r="G24" s="22">
        <f t="shared" ref="G24:H24" si="39">G23+E24</f>
        <v>56.33333333</v>
      </c>
      <c r="H24" s="22">
        <f t="shared" si="39"/>
        <v>55.5</v>
      </c>
      <c r="I24" s="22">
        <f t="shared" ref="I24:J24" si="40">ROUND($M$9-G24,4)</f>
        <v>274.6667</v>
      </c>
      <c r="J24" s="22">
        <f t="shared" si="40"/>
        <v>275.5</v>
      </c>
    </row>
    <row r="25" ht="15.75" customHeight="1">
      <c r="A25" s="9" t="s">
        <v>18</v>
      </c>
      <c r="B25" s="10">
        <v>21.0</v>
      </c>
      <c r="C25" s="10">
        <v>21.0</v>
      </c>
      <c r="D25" s="12">
        <v>46118.0</v>
      </c>
      <c r="E25" s="21">
        <v>2.5</v>
      </c>
      <c r="F25" s="21">
        <v>3.0</v>
      </c>
      <c r="G25" s="22">
        <f t="shared" ref="G25:H25" si="41">G24+E25</f>
        <v>58.83333333</v>
      </c>
      <c r="H25" s="22">
        <f t="shared" si="41"/>
        <v>58.5</v>
      </c>
      <c r="I25" s="22">
        <f t="shared" ref="I25:J25" si="42">ROUND($M$9-G25,4)</f>
        <v>272.1667</v>
      </c>
      <c r="J25" s="22">
        <f t="shared" si="42"/>
        <v>272.5</v>
      </c>
    </row>
    <row r="26" ht="15.75" customHeight="1">
      <c r="A26" s="9" t="s">
        <v>18</v>
      </c>
      <c r="B26" s="10">
        <v>22.0</v>
      </c>
      <c r="C26" s="10">
        <v>22.0</v>
      </c>
      <c r="D26" s="12">
        <v>46119.0</v>
      </c>
      <c r="E26" s="21">
        <v>0.0</v>
      </c>
      <c r="F26" s="21">
        <v>0.0</v>
      </c>
      <c r="G26" s="22">
        <f t="shared" ref="G26:H26" si="43">G25+E26</f>
        <v>58.83333333</v>
      </c>
      <c r="H26" s="22">
        <f t="shared" si="43"/>
        <v>58.5</v>
      </c>
      <c r="I26" s="22">
        <f t="shared" ref="I26:J26" si="44">ROUND($M$9-G26,4)</f>
        <v>272.1667</v>
      </c>
      <c r="J26" s="22">
        <f t="shared" si="44"/>
        <v>272.5</v>
      </c>
    </row>
    <row r="27" ht="15.75" customHeight="1">
      <c r="A27" s="9" t="s">
        <v>18</v>
      </c>
      <c r="B27" s="10">
        <v>23.0</v>
      </c>
      <c r="C27" s="10">
        <v>23.0</v>
      </c>
      <c r="D27" s="12">
        <v>46120.0</v>
      </c>
      <c r="E27" s="21">
        <v>4.66666666666667</v>
      </c>
      <c r="F27" s="21">
        <v>4.5</v>
      </c>
      <c r="G27" s="22">
        <f t="shared" ref="G27:H27" si="45">G26+E27</f>
        <v>63.5</v>
      </c>
      <c r="H27" s="22">
        <f t="shared" si="45"/>
        <v>63</v>
      </c>
      <c r="I27" s="22">
        <f t="shared" ref="I27:J27" si="46">ROUND($M$9-G27,4)</f>
        <v>267.5</v>
      </c>
      <c r="J27" s="22">
        <f t="shared" si="46"/>
        <v>268</v>
      </c>
    </row>
    <row r="28" ht="15.75" customHeight="1">
      <c r="A28" s="9" t="s">
        <v>18</v>
      </c>
      <c r="B28" s="10">
        <v>24.0</v>
      </c>
      <c r="C28" s="10">
        <v>24.0</v>
      </c>
      <c r="D28" s="12">
        <v>46121.0</v>
      </c>
      <c r="E28" s="21">
        <v>0.0</v>
      </c>
      <c r="F28" s="21">
        <v>0.0</v>
      </c>
      <c r="G28" s="22">
        <f t="shared" ref="G28:H28" si="47">G27+E28</f>
        <v>63.5</v>
      </c>
      <c r="H28" s="22">
        <f t="shared" si="47"/>
        <v>63</v>
      </c>
      <c r="I28" s="22">
        <f t="shared" ref="I28:J28" si="48">ROUND($M$9-G28,4)</f>
        <v>267.5</v>
      </c>
      <c r="J28" s="22">
        <f t="shared" si="48"/>
        <v>268</v>
      </c>
    </row>
    <row r="29" ht="15.75" customHeight="1">
      <c r="A29" s="9" t="s">
        <v>18</v>
      </c>
      <c r="B29" s="10">
        <v>25.0</v>
      </c>
      <c r="C29" s="10">
        <v>25.0</v>
      </c>
      <c r="D29" s="12">
        <v>46122.0</v>
      </c>
      <c r="E29" s="21">
        <v>1.66666666666667</v>
      </c>
      <c r="F29" s="21">
        <v>2.0</v>
      </c>
      <c r="G29" s="22">
        <f t="shared" ref="G29:H29" si="49">G28+E29</f>
        <v>65.16666667</v>
      </c>
      <c r="H29" s="22">
        <f t="shared" si="49"/>
        <v>65</v>
      </c>
      <c r="I29" s="22">
        <f t="shared" ref="I29:J29" si="50">ROUND($M$9-G29,4)</f>
        <v>265.8333</v>
      </c>
      <c r="J29" s="22">
        <f t="shared" si="50"/>
        <v>266</v>
      </c>
    </row>
    <row r="30" ht="15.75" customHeight="1">
      <c r="A30" s="9" t="s">
        <v>18</v>
      </c>
      <c r="B30" s="10">
        <v>26.0</v>
      </c>
      <c r="C30" s="10">
        <v>26.0</v>
      </c>
      <c r="D30" s="12">
        <v>46123.0</v>
      </c>
      <c r="E30" s="21">
        <v>1.5</v>
      </c>
      <c r="F30" s="21">
        <v>1.5</v>
      </c>
      <c r="G30" s="22">
        <f t="shared" ref="G30:H30" si="51">G29+E30</f>
        <v>66.66666667</v>
      </c>
      <c r="H30" s="22">
        <f t="shared" si="51"/>
        <v>66.5</v>
      </c>
      <c r="I30" s="22">
        <f t="shared" ref="I30:J30" si="52">ROUND($M$9-G30,4)</f>
        <v>264.3333</v>
      </c>
      <c r="J30" s="22">
        <f t="shared" si="52"/>
        <v>264.5</v>
      </c>
    </row>
    <row r="31" ht="15.75" customHeight="1">
      <c r="A31" s="9" t="s">
        <v>18</v>
      </c>
      <c r="B31" s="10">
        <v>27.0</v>
      </c>
      <c r="C31" s="10">
        <v>27.0</v>
      </c>
      <c r="D31" s="12">
        <v>46124.0</v>
      </c>
      <c r="E31" s="21">
        <v>0.0</v>
      </c>
      <c r="F31" s="21">
        <v>0.0</v>
      </c>
      <c r="G31" s="22">
        <f t="shared" ref="G31:H31" si="53">G30+E31</f>
        <v>66.66666667</v>
      </c>
      <c r="H31" s="22">
        <f t="shared" si="53"/>
        <v>66.5</v>
      </c>
      <c r="I31" s="22">
        <f t="shared" ref="I31:J31" si="54">ROUND($M$9-G31,4)</f>
        <v>264.3333</v>
      </c>
      <c r="J31" s="22">
        <f t="shared" si="54"/>
        <v>264.5</v>
      </c>
    </row>
    <row r="32" ht="15.75" customHeight="1">
      <c r="A32" s="9" t="s">
        <v>18</v>
      </c>
      <c r="B32" s="10">
        <v>28.0</v>
      </c>
      <c r="C32" s="10">
        <v>28.0</v>
      </c>
      <c r="D32" s="12">
        <v>46125.0</v>
      </c>
      <c r="E32" s="21">
        <v>0.0</v>
      </c>
      <c r="F32" s="21">
        <v>0.0</v>
      </c>
      <c r="G32" s="22">
        <f t="shared" ref="G32:H32" si="55">G31+E32</f>
        <v>66.66666667</v>
      </c>
      <c r="H32" s="22">
        <f t="shared" si="55"/>
        <v>66.5</v>
      </c>
      <c r="I32" s="22">
        <f t="shared" ref="I32:J32" si="56">ROUND($M$9-G32,4)</f>
        <v>264.3333</v>
      </c>
      <c r="J32" s="22">
        <f t="shared" si="56"/>
        <v>264.5</v>
      </c>
    </row>
    <row r="33" ht="15.75" customHeight="1">
      <c r="A33" s="9" t="s">
        <v>18</v>
      </c>
      <c r="B33" s="10">
        <v>29.0</v>
      </c>
      <c r="C33" s="10">
        <v>29.0</v>
      </c>
      <c r="D33" s="12">
        <v>46126.0</v>
      </c>
      <c r="E33" s="21">
        <v>0.0</v>
      </c>
      <c r="F33" s="21">
        <v>0.0</v>
      </c>
      <c r="G33" s="22">
        <f t="shared" ref="G33:H33" si="57">G32+E33</f>
        <v>66.66666667</v>
      </c>
      <c r="H33" s="22">
        <f t="shared" si="57"/>
        <v>66.5</v>
      </c>
      <c r="I33" s="22">
        <f t="shared" ref="I33:J33" si="58">ROUND($M$9-G33,4)</f>
        <v>264.3333</v>
      </c>
      <c r="J33" s="22">
        <f t="shared" si="58"/>
        <v>264.5</v>
      </c>
    </row>
    <row r="34" ht="15.75" customHeight="1">
      <c r="A34" s="9" t="s">
        <v>18</v>
      </c>
      <c r="B34" s="10">
        <v>30.0</v>
      </c>
      <c r="C34" s="10">
        <v>30.0</v>
      </c>
      <c r="D34" s="12">
        <v>46127.0</v>
      </c>
      <c r="E34" s="21">
        <v>3.66666666666667</v>
      </c>
      <c r="F34" s="21">
        <v>3.5</v>
      </c>
      <c r="G34" s="22">
        <f t="shared" ref="G34:H34" si="59">G33+E34</f>
        <v>70.33333333</v>
      </c>
      <c r="H34" s="22">
        <f t="shared" si="59"/>
        <v>70</v>
      </c>
      <c r="I34" s="22">
        <f t="shared" ref="I34:J34" si="60">ROUND($M$9-G34,4)</f>
        <v>260.6667</v>
      </c>
      <c r="J34" s="22">
        <f t="shared" si="60"/>
        <v>261</v>
      </c>
    </row>
    <row r="35" ht="15.75" customHeight="1">
      <c r="A35" s="9" t="s">
        <v>18</v>
      </c>
      <c r="B35" s="10">
        <v>31.0</v>
      </c>
      <c r="C35" s="10">
        <v>31.0</v>
      </c>
      <c r="D35" s="12">
        <v>46128.0</v>
      </c>
      <c r="E35" s="21">
        <v>3.5</v>
      </c>
      <c r="F35" s="21">
        <v>3.0</v>
      </c>
      <c r="G35" s="22">
        <f t="shared" ref="G35:H35" si="61">G34+E35</f>
        <v>73.83333333</v>
      </c>
      <c r="H35" s="22">
        <f t="shared" si="61"/>
        <v>73</v>
      </c>
      <c r="I35" s="22">
        <f t="shared" ref="I35:J35" si="62">ROUND($M$9-G35,4)</f>
        <v>257.1667</v>
      </c>
      <c r="J35" s="22">
        <f t="shared" si="62"/>
        <v>258</v>
      </c>
    </row>
    <row r="36" ht="15.75" customHeight="1">
      <c r="A36" s="9" t="s">
        <v>18</v>
      </c>
      <c r="B36" s="10">
        <v>32.0</v>
      </c>
      <c r="C36" s="10">
        <v>32.0</v>
      </c>
      <c r="D36" s="12">
        <v>46129.0</v>
      </c>
      <c r="E36" s="21">
        <v>3.5</v>
      </c>
      <c r="F36" s="21">
        <v>3.5</v>
      </c>
      <c r="G36" s="22">
        <f t="shared" ref="G36:H36" si="63">G35+E36</f>
        <v>77.33333333</v>
      </c>
      <c r="H36" s="22">
        <f t="shared" si="63"/>
        <v>76.5</v>
      </c>
      <c r="I36" s="22">
        <f t="shared" ref="I36:J36" si="64">ROUND($M$9-G36,4)</f>
        <v>253.6667</v>
      </c>
      <c r="J36" s="22">
        <f t="shared" si="64"/>
        <v>254.5</v>
      </c>
    </row>
    <row r="37" ht="15.75" customHeight="1">
      <c r="A37" s="9" t="s">
        <v>18</v>
      </c>
      <c r="B37" s="10">
        <v>33.0</v>
      </c>
      <c r="C37" s="10">
        <v>33.0</v>
      </c>
      <c r="D37" s="12">
        <v>46130.0</v>
      </c>
      <c r="E37" s="21">
        <v>3.16666666666667</v>
      </c>
      <c r="F37" s="21">
        <v>3.5</v>
      </c>
      <c r="G37" s="22">
        <f t="shared" ref="G37:H37" si="65">G36+E37</f>
        <v>80.5</v>
      </c>
      <c r="H37" s="22">
        <f t="shared" si="65"/>
        <v>80</v>
      </c>
      <c r="I37" s="22">
        <f t="shared" ref="I37:J37" si="66">ROUND($M$9-G37,4)</f>
        <v>250.5</v>
      </c>
      <c r="J37" s="22">
        <f t="shared" si="66"/>
        <v>251</v>
      </c>
    </row>
    <row r="38" ht="15.75" customHeight="1">
      <c r="A38" s="9" t="s">
        <v>18</v>
      </c>
      <c r="B38" s="10">
        <v>34.0</v>
      </c>
      <c r="C38" s="10">
        <v>34.0</v>
      </c>
      <c r="D38" s="12">
        <v>46131.0</v>
      </c>
      <c r="E38" s="21">
        <v>2.5</v>
      </c>
      <c r="F38" s="21">
        <v>3.0</v>
      </c>
      <c r="G38" s="22">
        <f t="shared" ref="G38:H38" si="67">G37+E38</f>
        <v>83</v>
      </c>
      <c r="H38" s="22">
        <f t="shared" si="67"/>
        <v>83</v>
      </c>
      <c r="I38" s="22">
        <f t="shared" ref="I38:J38" si="68">ROUND($M$9-G38,4)</f>
        <v>248</v>
      </c>
      <c r="J38" s="22">
        <f t="shared" si="68"/>
        <v>248</v>
      </c>
    </row>
    <row r="39" ht="15.75" customHeight="1">
      <c r="A39" s="9" t="s">
        <v>18</v>
      </c>
      <c r="B39" s="10">
        <v>35.0</v>
      </c>
      <c r="C39" s="10">
        <v>35.0</v>
      </c>
      <c r="D39" s="12">
        <v>46132.0</v>
      </c>
      <c r="E39" s="21">
        <v>1.0</v>
      </c>
      <c r="F39" s="21">
        <v>1.0</v>
      </c>
      <c r="G39" s="22">
        <f t="shared" ref="G39:H39" si="69">G38+E39</f>
        <v>84</v>
      </c>
      <c r="H39" s="22">
        <f t="shared" si="69"/>
        <v>84</v>
      </c>
      <c r="I39" s="22">
        <f t="shared" ref="I39:J39" si="70">ROUND($M$9-G39,4)</f>
        <v>247</v>
      </c>
      <c r="J39" s="22">
        <f t="shared" si="70"/>
        <v>247</v>
      </c>
    </row>
    <row r="40" ht="15.75" customHeight="1">
      <c r="A40" s="9" t="s">
        <v>18</v>
      </c>
      <c r="B40" s="10">
        <v>36.0</v>
      </c>
      <c r="C40" s="10">
        <v>36.0</v>
      </c>
      <c r="D40" s="12">
        <v>46133.0</v>
      </c>
      <c r="E40" s="21">
        <v>1.0</v>
      </c>
      <c r="F40" s="21">
        <v>1.0</v>
      </c>
      <c r="G40" s="22">
        <f t="shared" ref="G40:H40" si="71">G39+E40</f>
        <v>85</v>
      </c>
      <c r="H40" s="22">
        <f t="shared" si="71"/>
        <v>85</v>
      </c>
      <c r="I40" s="22">
        <f t="shared" ref="I40:J40" si="72">ROUND($M$9-G40,4)</f>
        <v>246</v>
      </c>
      <c r="J40" s="22">
        <f t="shared" si="72"/>
        <v>246</v>
      </c>
    </row>
    <row r="41" ht="15.75" customHeight="1">
      <c r="A41" s="9" t="s">
        <v>18</v>
      </c>
      <c r="B41" s="10">
        <v>37.0</v>
      </c>
      <c r="C41" s="10">
        <v>37.0</v>
      </c>
      <c r="D41" s="12">
        <v>46134.0</v>
      </c>
      <c r="E41" s="21">
        <v>1.0</v>
      </c>
      <c r="F41" s="21">
        <v>1.0</v>
      </c>
      <c r="G41" s="22">
        <f t="shared" ref="G41:H41" si="73">G40+E41</f>
        <v>86</v>
      </c>
      <c r="H41" s="22">
        <f t="shared" si="73"/>
        <v>86</v>
      </c>
      <c r="I41" s="22">
        <f t="shared" ref="I41:J41" si="74">ROUND($M$9-G41,4)</f>
        <v>245</v>
      </c>
      <c r="J41" s="22">
        <f t="shared" si="74"/>
        <v>245</v>
      </c>
    </row>
    <row r="42" ht="15.75" customHeight="1">
      <c r="A42" s="14" t="s">
        <v>140</v>
      </c>
      <c r="B42" s="10">
        <v>1.0</v>
      </c>
      <c r="C42" s="10">
        <v>38.0</v>
      </c>
      <c r="D42" s="12">
        <v>46151.0</v>
      </c>
      <c r="E42" s="21">
        <v>3.0</v>
      </c>
      <c r="F42" s="21">
        <v>2.0</v>
      </c>
      <c r="G42" s="22">
        <f t="shared" ref="G42:H42" si="75">G41+E42</f>
        <v>89</v>
      </c>
      <c r="H42" s="22">
        <f t="shared" si="75"/>
        <v>88</v>
      </c>
      <c r="I42" s="22">
        <f t="shared" ref="I42:J42" si="76">ROUND($M$9-G42,4)</f>
        <v>242</v>
      </c>
      <c r="J42" s="22">
        <f t="shared" si="76"/>
        <v>243</v>
      </c>
    </row>
    <row r="43" ht="15.75" customHeight="1">
      <c r="A43" s="14" t="s">
        <v>140</v>
      </c>
      <c r="B43" s="10">
        <v>2.0</v>
      </c>
      <c r="C43" s="10">
        <v>39.0</v>
      </c>
      <c r="D43" s="12">
        <v>46152.0</v>
      </c>
      <c r="E43" s="21">
        <v>5.66666666666667</v>
      </c>
      <c r="F43" s="21">
        <v>11.0</v>
      </c>
      <c r="G43" s="22">
        <f t="shared" ref="G43:H43" si="77">G42+E43</f>
        <v>94.66666667</v>
      </c>
      <c r="H43" s="22">
        <f t="shared" si="77"/>
        <v>99</v>
      </c>
      <c r="I43" s="22">
        <f t="shared" ref="I43:J43" si="78">ROUND($M$9-G43,4)</f>
        <v>236.3333</v>
      </c>
      <c r="J43" s="22">
        <f t="shared" si="78"/>
        <v>232</v>
      </c>
    </row>
    <row r="44" ht="15.75" customHeight="1">
      <c r="A44" s="14" t="s">
        <v>140</v>
      </c>
      <c r="B44" s="10">
        <v>3.0</v>
      </c>
      <c r="C44" s="10">
        <v>40.0</v>
      </c>
      <c r="D44" s="12">
        <v>46153.0</v>
      </c>
      <c r="E44" s="21">
        <v>0.0</v>
      </c>
      <c r="F44" s="21">
        <v>0.0</v>
      </c>
      <c r="G44" s="22">
        <f t="shared" ref="G44:H44" si="79">G43+E44</f>
        <v>94.66666667</v>
      </c>
      <c r="H44" s="22">
        <f t="shared" si="79"/>
        <v>99</v>
      </c>
      <c r="I44" s="22">
        <f t="shared" ref="I44:J44" si="80">ROUND($M$9-G44,4)</f>
        <v>236.3333</v>
      </c>
      <c r="J44" s="22">
        <f t="shared" si="80"/>
        <v>232</v>
      </c>
    </row>
    <row r="45" ht="15.75" customHeight="1">
      <c r="A45" s="14" t="s">
        <v>140</v>
      </c>
      <c r="B45" s="10">
        <v>4.0</v>
      </c>
      <c r="C45" s="10">
        <v>41.0</v>
      </c>
      <c r="D45" s="12">
        <v>46154.0</v>
      </c>
      <c r="E45" s="21">
        <v>3.0</v>
      </c>
      <c r="F45" s="21">
        <v>2.0</v>
      </c>
      <c r="G45" s="22">
        <f t="shared" ref="G45:H45" si="81">G44+E45</f>
        <v>97.66666667</v>
      </c>
      <c r="H45" s="22">
        <f t="shared" si="81"/>
        <v>101</v>
      </c>
      <c r="I45" s="22">
        <f t="shared" ref="I45:J45" si="82">ROUND($M$9-G45,4)</f>
        <v>233.3333</v>
      </c>
      <c r="J45" s="22">
        <f t="shared" si="82"/>
        <v>230</v>
      </c>
    </row>
    <row r="46" ht="15.75" customHeight="1">
      <c r="A46" s="14" t="s">
        <v>140</v>
      </c>
      <c r="B46" s="10">
        <v>5.0</v>
      </c>
      <c r="C46" s="10">
        <v>42.0</v>
      </c>
      <c r="D46" s="12">
        <v>46155.0</v>
      </c>
      <c r="E46" s="21">
        <v>2.0</v>
      </c>
      <c r="F46" s="21">
        <v>2.0</v>
      </c>
      <c r="G46" s="22">
        <f t="shared" ref="G46:H46" si="83">G45+E46</f>
        <v>99.66666667</v>
      </c>
      <c r="H46" s="22">
        <f t="shared" si="83"/>
        <v>103</v>
      </c>
      <c r="I46" s="22">
        <f t="shared" ref="I46:J46" si="84">ROUND($M$9-G46,4)</f>
        <v>231.3333</v>
      </c>
      <c r="J46" s="22">
        <f t="shared" si="84"/>
        <v>228</v>
      </c>
    </row>
    <row r="47" ht="15.75" customHeight="1">
      <c r="A47" s="14" t="s">
        <v>140</v>
      </c>
      <c r="B47" s="10">
        <v>6.0</v>
      </c>
      <c r="C47" s="10">
        <v>43.0</v>
      </c>
      <c r="D47" s="12">
        <v>46156.0</v>
      </c>
      <c r="E47" s="21">
        <v>0.0</v>
      </c>
      <c r="F47" s="21">
        <v>0.0</v>
      </c>
      <c r="G47" s="22">
        <f t="shared" ref="G47:H47" si="85">G46+E47</f>
        <v>99.66666667</v>
      </c>
      <c r="H47" s="22">
        <f t="shared" si="85"/>
        <v>103</v>
      </c>
      <c r="I47" s="22">
        <f t="shared" ref="I47:J47" si="86">ROUND($M$9-G47,4)</f>
        <v>231.3333</v>
      </c>
      <c r="J47" s="22">
        <f t="shared" si="86"/>
        <v>228</v>
      </c>
    </row>
    <row r="48" ht="15.75" customHeight="1">
      <c r="A48" s="14" t="s">
        <v>140</v>
      </c>
      <c r="B48" s="10">
        <v>7.0</v>
      </c>
      <c r="C48" s="10">
        <v>44.0</v>
      </c>
      <c r="D48" s="12">
        <v>46157.0</v>
      </c>
      <c r="E48" s="21">
        <v>5.16666666666667</v>
      </c>
      <c r="F48" s="21">
        <v>10.0</v>
      </c>
      <c r="G48" s="22">
        <f t="shared" ref="G48:H48" si="87">G47+E48</f>
        <v>104.8333333</v>
      </c>
      <c r="H48" s="22">
        <f t="shared" si="87"/>
        <v>113</v>
      </c>
      <c r="I48" s="22">
        <f t="shared" ref="I48:J48" si="88">ROUND($M$9-G48,4)</f>
        <v>226.1667</v>
      </c>
      <c r="J48" s="22">
        <f t="shared" si="88"/>
        <v>218</v>
      </c>
    </row>
    <row r="49" ht="15.75" customHeight="1">
      <c r="A49" s="14" t="s">
        <v>140</v>
      </c>
      <c r="B49" s="10">
        <v>8.0</v>
      </c>
      <c r="C49" s="10">
        <v>45.0</v>
      </c>
      <c r="D49" s="12">
        <v>46158.0</v>
      </c>
      <c r="E49" s="21">
        <v>2.0</v>
      </c>
      <c r="F49" s="21">
        <v>1.0</v>
      </c>
      <c r="G49" s="22">
        <f t="shared" ref="G49:H49" si="89">G48+E49</f>
        <v>106.8333333</v>
      </c>
      <c r="H49" s="22">
        <f t="shared" si="89"/>
        <v>114</v>
      </c>
      <c r="I49" s="22">
        <f t="shared" ref="I49:J49" si="90">ROUND($M$9-G49,4)</f>
        <v>224.1667</v>
      </c>
      <c r="J49" s="22">
        <f t="shared" si="90"/>
        <v>217</v>
      </c>
    </row>
    <row r="50" ht="15.75" customHeight="1">
      <c r="A50" s="14" t="s">
        <v>140</v>
      </c>
      <c r="B50" s="10">
        <v>9.0</v>
      </c>
      <c r="C50" s="10">
        <v>46.0</v>
      </c>
      <c r="D50" s="12">
        <v>46159.0</v>
      </c>
      <c r="E50" s="21">
        <v>6.0</v>
      </c>
      <c r="F50" s="21">
        <v>5.0</v>
      </c>
      <c r="G50" s="22">
        <f t="shared" ref="G50:H50" si="91">G49+E50</f>
        <v>112.8333333</v>
      </c>
      <c r="H50" s="22">
        <f t="shared" si="91"/>
        <v>119</v>
      </c>
      <c r="I50" s="22">
        <f t="shared" ref="I50:J50" si="92">ROUND($M$9-G50,4)</f>
        <v>218.1667</v>
      </c>
      <c r="J50" s="22">
        <f t="shared" si="92"/>
        <v>212</v>
      </c>
    </row>
    <row r="51" ht="15.75" customHeight="1">
      <c r="A51" s="14" t="s">
        <v>140</v>
      </c>
      <c r="B51" s="10">
        <v>10.0</v>
      </c>
      <c r="C51" s="10">
        <v>47.0</v>
      </c>
      <c r="D51" s="12">
        <v>46160.0</v>
      </c>
      <c r="E51" s="21">
        <v>0.0</v>
      </c>
      <c r="F51" s="21">
        <v>0.0</v>
      </c>
      <c r="G51" s="22">
        <f t="shared" ref="G51:H51" si="93">G50+E51</f>
        <v>112.8333333</v>
      </c>
      <c r="H51" s="22">
        <f t="shared" si="93"/>
        <v>119</v>
      </c>
      <c r="I51" s="22">
        <f t="shared" ref="I51:J51" si="94">ROUND($M$9-G51,4)</f>
        <v>218.1667</v>
      </c>
      <c r="J51" s="22">
        <f t="shared" si="94"/>
        <v>212</v>
      </c>
    </row>
    <row r="52" ht="15.75" customHeight="1">
      <c r="A52" s="14" t="s">
        <v>140</v>
      </c>
      <c r="B52" s="10">
        <v>11.0</v>
      </c>
      <c r="C52" s="10">
        <v>48.0</v>
      </c>
      <c r="D52" s="12">
        <v>46161.0</v>
      </c>
      <c r="E52" s="21">
        <v>4.0</v>
      </c>
      <c r="F52" s="21">
        <v>2.0</v>
      </c>
      <c r="G52" s="22">
        <f t="shared" ref="G52:H52" si="95">G51+E52</f>
        <v>116.8333333</v>
      </c>
      <c r="H52" s="22">
        <f t="shared" si="95"/>
        <v>121</v>
      </c>
      <c r="I52" s="22">
        <f t="shared" ref="I52:J52" si="96">ROUND($M$9-G52,4)</f>
        <v>214.1667</v>
      </c>
      <c r="J52" s="22">
        <f t="shared" si="96"/>
        <v>210</v>
      </c>
    </row>
    <row r="53" ht="15.75" customHeight="1">
      <c r="A53" s="14" t="s">
        <v>140</v>
      </c>
      <c r="B53" s="10">
        <v>12.0</v>
      </c>
      <c r="C53" s="10">
        <v>49.0</v>
      </c>
      <c r="D53" s="12">
        <v>46162.0</v>
      </c>
      <c r="E53" s="21">
        <v>2.5</v>
      </c>
      <c r="F53" s="21">
        <v>2.0</v>
      </c>
      <c r="G53" s="22">
        <f t="shared" ref="G53:H53" si="97">G52+E53</f>
        <v>119.3333333</v>
      </c>
      <c r="H53" s="22">
        <f t="shared" si="97"/>
        <v>123</v>
      </c>
      <c r="I53" s="22">
        <f t="shared" ref="I53:J53" si="98">ROUND($M$9-G53,4)</f>
        <v>211.6667</v>
      </c>
      <c r="J53" s="22">
        <f t="shared" si="98"/>
        <v>208</v>
      </c>
    </row>
    <row r="54" ht="15.75" customHeight="1">
      <c r="A54" s="14" t="s">
        <v>140</v>
      </c>
      <c r="B54" s="10">
        <v>13.0</v>
      </c>
      <c r="C54" s="10">
        <v>50.0</v>
      </c>
      <c r="D54" s="12">
        <v>46163.0</v>
      </c>
      <c r="E54" s="21">
        <v>5.0</v>
      </c>
      <c r="F54" s="21">
        <v>2.0</v>
      </c>
      <c r="G54" s="22">
        <f t="shared" ref="G54:H54" si="99">G53+E54</f>
        <v>124.3333333</v>
      </c>
      <c r="H54" s="22">
        <f t="shared" si="99"/>
        <v>125</v>
      </c>
      <c r="I54" s="22">
        <f t="shared" ref="I54:J54" si="100">ROUND($M$9-G54,4)</f>
        <v>206.6667</v>
      </c>
      <c r="J54" s="22">
        <f t="shared" si="100"/>
        <v>206</v>
      </c>
    </row>
    <row r="55" ht="15.75" customHeight="1">
      <c r="A55" s="14" t="s">
        <v>140</v>
      </c>
      <c r="B55" s="10">
        <v>14.0</v>
      </c>
      <c r="C55" s="10">
        <v>51.0</v>
      </c>
      <c r="D55" s="12">
        <v>46164.0</v>
      </c>
      <c r="E55" s="21">
        <v>3.66666666666667</v>
      </c>
      <c r="F55" s="21">
        <v>3.0</v>
      </c>
      <c r="G55" s="22">
        <f t="shared" ref="G55:H55" si="101">G54+E55</f>
        <v>128</v>
      </c>
      <c r="H55" s="22">
        <f t="shared" si="101"/>
        <v>128</v>
      </c>
      <c r="I55" s="22">
        <f t="shared" ref="I55:J55" si="102">ROUND($M$9-G55,4)</f>
        <v>203</v>
      </c>
      <c r="J55" s="22">
        <f t="shared" si="102"/>
        <v>203</v>
      </c>
    </row>
    <row r="56" ht="15.75" customHeight="1">
      <c r="A56" s="14" t="s">
        <v>140</v>
      </c>
      <c r="B56" s="10">
        <v>15.0</v>
      </c>
      <c r="C56" s="10">
        <v>52.0</v>
      </c>
      <c r="D56" s="12">
        <v>46165.0</v>
      </c>
      <c r="E56" s="21">
        <v>10.1666666666667</v>
      </c>
      <c r="F56" s="21">
        <v>7.0</v>
      </c>
      <c r="G56" s="22">
        <f t="shared" ref="G56:H56" si="103">G55+E56</f>
        <v>138.1666667</v>
      </c>
      <c r="H56" s="22">
        <f t="shared" si="103"/>
        <v>135</v>
      </c>
      <c r="I56" s="22">
        <f t="shared" ref="I56:J56" si="104">ROUND($M$9-G56,4)</f>
        <v>192.8333</v>
      </c>
      <c r="J56" s="22">
        <f t="shared" si="104"/>
        <v>196</v>
      </c>
    </row>
    <row r="57" ht="15.75" customHeight="1">
      <c r="A57" s="14" t="s">
        <v>140</v>
      </c>
      <c r="B57" s="10">
        <v>16.0</v>
      </c>
      <c r="C57" s="10">
        <v>53.0</v>
      </c>
      <c r="D57" s="12">
        <v>46166.0</v>
      </c>
      <c r="E57" s="21">
        <v>6.66666666666667</v>
      </c>
      <c r="F57" s="21">
        <v>5.0</v>
      </c>
      <c r="G57" s="22">
        <f t="shared" ref="G57:H57" si="105">G56+E57</f>
        <v>144.8333333</v>
      </c>
      <c r="H57" s="22">
        <f t="shared" si="105"/>
        <v>140</v>
      </c>
      <c r="I57" s="22">
        <f t="shared" ref="I57:J57" si="106">ROUND($M$9-G57,4)</f>
        <v>186.1667</v>
      </c>
      <c r="J57" s="22">
        <f t="shared" si="106"/>
        <v>191</v>
      </c>
    </row>
    <row r="58" ht="15.75" customHeight="1">
      <c r="A58" s="14" t="s">
        <v>140</v>
      </c>
      <c r="B58" s="10">
        <v>17.0</v>
      </c>
      <c r="C58" s="10">
        <v>54.0</v>
      </c>
      <c r="D58" s="12">
        <v>46167.0</v>
      </c>
      <c r="E58" s="21">
        <v>8.16666666666667</v>
      </c>
      <c r="F58" s="21">
        <v>8.0</v>
      </c>
      <c r="G58" s="22">
        <f t="shared" ref="G58:H58" si="107">G57+E58</f>
        <v>153</v>
      </c>
      <c r="H58" s="22">
        <f t="shared" si="107"/>
        <v>148</v>
      </c>
      <c r="I58" s="22">
        <f t="shared" ref="I58:J58" si="108">ROUND($M$9-G58,4)</f>
        <v>178</v>
      </c>
      <c r="J58" s="22">
        <f t="shared" si="108"/>
        <v>183</v>
      </c>
    </row>
    <row r="59" ht="15.75" customHeight="1">
      <c r="A59" s="15" t="s">
        <v>189</v>
      </c>
      <c r="B59" s="10">
        <v>1.0</v>
      </c>
      <c r="C59" s="10">
        <v>55.0</v>
      </c>
      <c r="D59" s="12">
        <v>46244.0</v>
      </c>
      <c r="E59" s="21">
        <v>4.41666666666667</v>
      </c>
      <c r="F59" s="21">
        <v>3.5</v>
      </c>
      <c r="G59" s="22">
        <f t="shared" ref="G59:H59" si="109">G58+E59</f>
        <v>157.4166667</v>
      </c>
      <c r="H59" s="22">
        <f t="shared" si="109"/>
        <v>151.5</v>
      </c>
      <c r="I59" s="22">
        <f t="shared" ref="I59:J59" si="110">ROUND($M$9-G59,4)</f>
        <v>173.5833</v>
      </c>
      <c r="J59" s="22">
        <f t="shared" si="110"/>
        <v>179.5</v>
      </c>
    </row>
    <row r="60" ht="15.75" customHeight="1">
      <c r="A60" s="15" t="s">
        <v>189</v>
      </c>
      <c r="B60" s="10">
        <v>2.0</v>
      </c>
      <c r="C60" s="10">
        <v>56.0</v>
      </c>
      <c r="D60" s="12">
        <v>46245.0</v>
      </c>
      <c r="E60" s="21">
        <v>1.0</v>
      </c>
      <c r="F60" s="21">
        <v>1.0</v>
      </c>
      <c r="G60" s="22">
        <f t="shared" ref="G60:H60" si="111">G59+E60</f>
        <v>158.4166667</v>
      </c>
      <c r="H60" s="22">
        <f t="shared" si="111"/>
        <v>152.5</v>
      </c>
      <c r="I60" s="22">
        <f t="shared" ref="I60:J60" si="112">ROUND($M$9-G60,4)</f>
        <v>172.5833</v>
      </c>
      <c r="J60" s="22">
        <f t="shared" si="112"/>
        <v>178.5</v>
      </c>
    </row>
    <row r="61" ht="15.75" customHeight="1">
      <c r="A61" s="15" t="s">
        <v>189</v>
      </c>
      <c r="B61" s="10">
        <v>3.0</v>
      </c>
      <c r="C61" s="10">
        <v>57.0</v>
      </c>
      <c r="D61" s="12">
        <v>46246.0</v>
      </c>
      <c r="E61" s="21">
        <v>2.66666666666667</v>
      </c>
      <c r="F61" s="21">
        <v>2.5</v>
      </c>
      <c r="G61" s="22">
        <f t="shared" ref="G61:H61" si="113">G60+E61</f>
        <v>161.0833333</v>
      </c>
      <c r="H61" s="22">
        <f t="shared" si="113"/>
        <v>155</v>
      </c>
      <c r="I61" s="22">
        <f t="shared" ref="I61:J61" si="114">ROUND($M$9-G61,4)</f>
        <v>169.9167</v>
      </c>
      <c r="J61" s="22">
        <f t="shared" si="114"/>
        <v>176</v>
      </c>
    </row>
    <row r="62" ht="15.75" customHeight="1">
      <c r="A62" s="15" t="s">
        <v>189</v>
      </c>
      <c r="B62" s="10">
        <v>4.0</v>
      </c>
      <c r="C62" s="10">
        <v>58.0</v>
      </c>
      <c r="D62" s="12">
        <v>46247.0</v>
      </c>
      <c r="E62" s="21">
        <v>4.0</v>
      </c>
      <c r="F62" s="21">
        <v>3.0</v>
      </c>
      <c r="G62" s="22">
        <f t="shared" ref="G62:H62" si="115">G61+E62</f>
        <v>165.0833333</v>
      </c>
      <c r="H62" s="22">
        <f t="shared" si="115"/>
        <v>158</v>
      </c>
      <c r="I62" s="22">
        <f t="shared" ref="I62:J62" si="116">ROUND($M$9-G62,4)</f>
        <v>165.9167</v>
      </c>
      <c r="J62" s="22">
        <f t="shared" si="116"/>
        <v>173</v>
      </c>
    </row>
    <row r="63" ht="15.75" customHeight="1">
      <c r="A63" s="15" t="s">
        <v>189</v>
      </c>
      <c r="B63" s="10">
        <v>5.0</v>
      </c>
      <c r="C63" s="10">
        <v>59.0</v>
      </c>
      <c r="D63" s="12">
        <v>46248.0</v>
      </c>
      <c r="E63" s="21">
        <v>7.66666666666667</v>
      </c>
      <c r="F63" s="21">
        <v>4.5</v>
      </c>
      <c r="G63" s="22">
        <f t="shared" ref="G63:H63" si="117">G62+E63</f>
        <v>172.75</v>
      </c>
      <c r="H63" s="22">
        <f t="shared" si="117"/>
        <v>162.5</v>
      </c>
      <c r="I63" s="22">
        <f t="shared" ref="I63:J63" si="118">ROUND($M$9-G63,4)</f>
        <v>158.25</v>
      </c>
      <c r="J63" s="22">
        <f t="shared" si="118"/>
        <v>168.5</v>
      </c>
    </row>
    <row r="64" ht="15.75" customHeight="1">
      <c r="A64" s="15" t="s">
        <v>189</v>
      </c>
      <c r="B64" s="10">
        <v>6.0</v>
      </c>
      <c r="C64" s="10">
        <v>60.0</v>
      </c>
      <c r="D64" s="12">
        <v>46249.0</v>
      </c>
      <c r="E64" s="21">
        <v>0.0</v>
      </c>
      <c r="F64" s="21">
        <v>0.0</v>
      </c>
      <c r="G64" s="22">
        <f t="shared" ref="G64:H64" si="119">G63+E64</f>
        <v>172.75</v>
      </c>
      <c r="H64" s="22">
        <f t="shared" si="119"/>
        <v>162.5</v>
      </c>
      <c r="I64" s="22">
        <f t="shared" ref="I64:J64" si="120">ROUND($M$9-G64,4)</f>
        <v>158.25</v>
      </c>
      <c r="J64" s="22">
        <f t="shared" si="120"/>
        <v>168.5</v>
      </c>
    </row>
    <row r="65" ht="15.75" customHeight="1">
      <c r="A65" s="15" t="s">
        <v>189</v>
      </c>
      <c r="B65" s="10">
        <v>7.0</v>
      </c>
      <c r="C65" s="10">
        <v>61.0</v>
      </c>
      <c r="D65" s="12">
        <v>46250.0</v>
      </c>
      <c r="E65" s="21">
        <v>0.0</v>
      </c>
      <c r="F65" s="21">
        <v>0.0</v>
      </c>
      <c r="G65" s="22">
        <f t="shared" ref="G65:H65" si="121">G64+E65</f>
        <v>172.75</v>
      </c>
      <c r="H65" s="22">
        <f t="shared" si="121"/>
        <v>162.5</v>
      </c>
      <c r="I65" s="22">
        <f t="shared" ref="I65:J65" si="122">ROUND($M$9-G65,4)</f>
        <v>158.25</v>
      </c>
      <c r="J65" s="22">
        <f t="shared" si="122"/>
        <v>168.5</v>
      </c>
    </row>
    <row r="66" ht="15.75" customHeight="1">
      <c r="A66" s="15" t="s">
        <v>189</v>
      </c>
      <c r="B66" s="10">
        <v>8.0</v>
      </c>
      <c r="C66" s="10">
        <v>62.0</v>
      </c>
      <c r="D66" s="12">
        <v>46251.0</v>
      </c>
      <c r="E66" s="21">
        <v>3.75</v>
      </c>
      <c r="F66" s="21">
        <v>2.0</v>
      </c>
      <c r="G66" s="22">
        <f t="shared" ref="G66:H66" si="123">G65+E66</f>
        <v>176.5</v>
      </c>
      <c r="H66" s="22">
        <f t="shared" si="123"/>
        <v>164.5</v>
      </c>
      <c r="I66" s="22">
        <f t="shared" ref="I66:J66" si="124">ROUND($M$9-G66,4)</f>
        <v>154.5</v>
      </c>
      <c r="J66" s="22">
        <f t="shared" si="124"/>
        <v>166.5</v>
      </c>
    </row>
    <row r="67" ht="15.75" customHeight="1">
      <c r="A67" s="15" t="s">
        <v>189</v>
      </c>
      <c r="B67" s="10">
        <v>9.0</v>
      </c>
      <c r="C67" s="10">
        <v>63.0</v>
      </c>
      <c r="D67" s="12">
        <v>46252.0</v>
      </c>
      <c r="E67" s="21">
        <v>6.66666666666667</v>
      </c>
      <c r="F67" s="21">
        <v>4.0</v>
      </c>
      <c r="G67" s="22">
        <f t="shared" ref="G67:H67" si="125">G66+E67</f>
        <v>183.1666667</v>
      </c>
      <c r="H67" s="22">
        <f t="shared" si="125"/>
        <v>168.5</v>
      </c>
      <c r="I67" s="22">
        <f t="shared" ref="I67:J67" si="126">ROUND($M$9-G67,4)</f>
        <v>147.8333</v>
      </c>
      <c r="J67" s="22">
        <f t="shared" si="126"/>
        <v>162.5</v>
      </c>
    </row>
    <row r="68" ht="15.75" customHeight="1">
      <c r="A68" s="15" t="s">
        <v>189</v>
      </c>
      <c r="B68" s="10">
        <v>10.0</v>
      </c>
      <c r="C68" s="10">
        <v>64.0</v>
      </c>
      <c r="D68" s="12">
        <v>46253.0</v>
      </c>
      <c r="E68" s="21">
        <v>6.66666666666667</v>
      </c>
      <c r="F68" s="21">
        <v>4.0</v>
      </c>
      <c r="G68" s="22">
        <f t="shared" ref="G68:H68" si="127">G67+E68</f>
        <v>189.8333333</v>
      </c>
      <c r="H68" s="22">
        <f t="shared" si="127"/>
        <v>172.5</v>
      </c>
      <c r="I68" s="22">
        <f t="shared" ref="I68:J68" si="128">ROUND($M$9-G68,4)</f>
        <v>141.1667</v>
      </c>
      <c r="J68" s="22">
        <f t="shared" si="128"/>
        <v>158.5</v>
      </c>
    </row>
    <row r="69" ht="15.75" customHeight="1">
      <c r="A69" s="15" t="s">
        <v>189</v>
      </c>
      <c r="B69" s="10">
        <v>11.0</v>
      </c>
      <c r="C69" s="10">
        <v>65.0</v>
      </c>
      <c r="D69" s="12">
        <v>46254.0</v>
      </c>
      <c r="E69" s="21">
        <v>6.66666666666667</v>
      </c>
      <c r="F69" s="21">
        <v>4.0</v>
      </c>
      <c r="G69" s="22">
        <f t="shared" ref="G69:H69" si="129">G68+E69</f>
        <v>196.5</v>
      </c>
      <c r="H69" s="22">
        <f t="shared" si="129"/>
        <v>176.5</v>
      </c>
      <c r="I69" s="22">
        <f t="shared" ref="I69:J69" si="130">ROUND($M$9-G69,4)</f>
        <v>134.5</v>
      </c>
      <c r="J69" s="22">
        <f t="shared" si="130"/>
        <v>154.5</v>
      </c>
    </row>
    <row r="70" ht="15.75" customHeight="1">
      <c r="A70" s="15" t="s">
        <v>189</v>
      </c>
      <c r="B70" s="10">
        <v>12.0</v>
      </c>
      <c r="C70" s="10">
        <v>66.0</v>
      </c>
      <c r="D70" s="12">
        <v>46255.0</v>
      </c>
      <c r="E70" s="21">
        <v>0.0</v>
      </c>
      <c r="F70" s="21">
        <v>0.0</v>
      </c>
      <c r="G70" s="22">
        <f t="shared" ref="G70:H70" si="131">G69+E70</f>
        <v>196.5</v>
      </c>
      <c r="H70" s="22">
        <f t="shared" si="131"/>
        <v>176.5</v>
      </c>
      <c r="I70" s="22">
        <f t="shared" ref="I70:J70" si="132">ROUND($M$9-G70,4)</f>
        <v>134.5</v>
      </c>
      <c r="J70" s="22">
        <f t="shared" si="132"/>
        <v>154.5</v>
      </c>
    </row>
    <row r="71" ht="15.75" customHeight="1">
      <c r="A71" s="15" t="s">
        <v>189</v>
      </c>
      <c r="B71" s="10">
        <v>13.0</v>
      </c>
      <c r="C71" s="10">
        <v>67.0</v>
      </c>
      <c r="D71" s="12">
        <v>46256.0</v>
      </c>
      <c r="E71" s="21">
        <v>0.0</v>
      </c>
      <c r="F71" s="21">
        <v>0.0</v>
      </c>
      <c r="G71" s="22">
        <f t="shared" ref="G71:H71" si="133">G70+E71</f>
        <v>196.5</v>
      </c>
      <c r="H71" s="22">
        <f t="shared" si="133"/>
        <v>176.5</v>
      </c>
      <c r="I71" s="22">
        <f t="shared" ref="I71:J71" si="134">ROUND($M$9-G71,4)</f>
        <v>134.5</v>
      </c>
      <c r="J71" s="22">
        <f t="shared" si="134"/>
        <v>154.5</v>
      </c>
    </row>
    <row r="72" ht="15.75" customHeight="1">
      <c r="A72" s="15" t="s">
        <v>189</v>
      </c>
      <c r="B72" s="10">
        <v>14.0</v>
      </c>
      <c r="C72" s="10">
        <v>68.0</v>
      </c>
      <c r="D72" s="12">
        <v>46257.0</v>
      </c>
      <c r="E72" s="21">
        <v>0.0</v>
      </c>
      <c r="F72" s="21">
        <v>0.0</v>
      </c>
      <c r="G72" s="22">
        <f t="shared" ref="G72:H72" si="135">G71+E72</f>
        <v>196.5</v>
      </c>
      <c r="H72" s="22">
        <f t="shared" si="135"/>
        <v>176.5</v>
      </c>
      <c r="I72" s="22">
        <f t="shared" ref="I72:J72" si="136">ROUND($M$9-G72,4)</f>
        <v>134.5</v>
      </c>
      <c r="J72" s="22">
        <f t="shared" si="136"/>
        <v>154.5</v>
      </c>
    </row>
    <row r="73" ht="15.75" customHeight="1">
      <c r="A73" s="15" t="s">
        <v>189</v>
      </c>
      <c r="B73" s="10">
        <v>15.0</v>
      </c>
      <c r="C73" s="10">
        <v>69.0</v>
      </c>
      <c r="D73" s="12">
        <v>46258.0</v>
      </c>
      <c r="E73" s="21">
        <v>4.75</v>
      </c>
      <c r="F73" s="21">
        <v>3.5</v>
      </c>
      <c r="G73" s="22">
        <f t="shared" ref="G73:H73" si="137">G72+E73</f>
        <v>201.25</v>
      </c>
      <c r="H73" s="22">
        <f t="shared" si="137"/>
        <v>180</v>
      </c>
      <c r="I73" s="22">
        <f t="shared" ref="I73:J73" si="138">ROUND($M$9-G73,4)</f>
        <v>129.75</v>
      </c>
      <c r="J73" s="22">
        <f t="shared" si="138"/>
        <v>151</v>
      </c>
    </row>
    <row r="74" ht="15.75" customHeight="1">
      <c r="A74" s="15" t="s">
        <v>189</v>
      </c>
      <c r="B74" s="10">
        <v>16.0</v>
      </c>
      <c r="C74" s="10">
        <v>70.0</v>
      </c>
      <c r="D74" s="12">
        <v>46259.0</v>
      </c>
      <c r="E74" s="21">
        <v>3.0</v>
      </c>
      <c r="F74" s="21">
        <v>2.0</v>
      </c>
      <c r="G74" s="22">
        <f t="shared" ref="G74:H74" si="139">G73+E74</f>
        <v>204.25</v>
      </c>
      <c r="H74" s="22">
        <f t="shared" si="139"/>
        <v>182</v>
      </c>
      <c r="I74" s="22">
        <f t="shared" ref="I74:J74" si="140">ROUND($M$9-G74,4)</f>
        <v>126.75</v>
      </c>
      <c r="J74" s="22">
        <f t="shared" si="140"/>
        <v>149</v>
      </c>
    </row>
    <row r="75" ht="15.75" customHeight="1">
      <c r="A75" s="15" t="s">
        <v>189</v>
      </c>
      <c r="B75" s="10">
        <v>17.0</v>
      </c>
      <c r="C75" s="10">
        <v>71.0</v>
      </c>
      <c r="D75" s="12">
        <v>46260.0</v>
      </c>
      <c r="E75" s="21">
        <v>1.5</v>
      </c>
      <c r="F75" s="21">
        <v>1.5</v>
      </c>
      <c r="G75" s="22">
        <f t="shared" ref="G75:H75" si="141">G74+E75</f>
        <v>205.75</v>
      </c>
      <c r="H75" s="22">
        <f t="shared" si="141"/>
        <v>183.5</v>
      </c>
      <c r="I75" s="22">
        <f t="shared" ref="I75:J75" si="142">ROUND($M$9-G75,4)</f>
        <v>125.25</v>
      </c>
      <c r="J75" s="22">
        <f t="shared" si="142"/>
        <v>147.5</v>
      </c>
    </row>
    <row r="76" ht="15.75" customHeight="1">
      <c r="A76" s="15" t="s">
        <v>189</v>
      </c>
      <c r="B76" s="10">
        <v>18.0</v>
      </c>
      <c r="C76" s="10">
        <v>72.0</v>
      </c>
      <c r="D76" s="12">
        <v>46261.0</v>
      </c>
      <c r="E76" s="21">
        <v>1.5</v>
      </c>
      <c r="F76" s="21">
        <v>1.0</v>
      </c>
      <c r="G76" s="22">
        <f t="shared" ref="G76:H76" si="143">G75+E76</f>
        <v>207.25</v>
      </c>
      <c r="H76" s="22">
        <f t="shared" si="143"/>
        <v>184.5</v>
      </c>
      <c r="I76" s="22">
        <f t="shared" ref="I76:J76" si="144">ROUND($M$9-G76,4)</f>
        <v>123.75</v>
      </c>
      <c r="J76" s="22">
        <f t="shared" si="144"/>
        <v>146.5</v>
      </c>
    </row>
    <row r="77" ht="15.75" customHeight="1">
      <c r="A77" s="15" t="s">
        <v>189</v>
      </c>
      <c r="B77" s="10">
        <v>19.0</v>
      </c>
      <c r="C77" s="10">
        <v>73.0</v>
      </c>
      <c r="D77" s="12">
        <v>46262.0</v>
      </c>
      <c r="E77" s="21">
        <v>4.5</v>
      </c>
      <c r="F77" s="21">
        <v>3.0</v>
      </c>
      <c r="G77" s="22">
        <f t="shared" ref="G77:H77" si="145">G76+E77</f>
        <v>211.75</v>
      </c>
      <c r="H77" s="22">
        <f t="shared" si="145"/>
        <v>187.5</v>
      </c>
      <c r="I77" s="22">
        <f t="shared" ref="I77:J77" si="146">ROUND($M$9-G77,4)</f>
        <v>119.25</v>
      </c>
      <c r="J77" s="22">
        <f t="shared" si="146"/>
        <v>143.5</v>
      </c>
    </row>
    <row r="78" ht="15.75" customHeight="1">
      <c r="A78" s="15" t="s">
        <v>189</v>
      </c>
      <c r="B78" s="10">
        <v>20.0</v>
      </c>
      <c r="C78" s="10">
        <v>74.0</v>
      </c>
      <c r="D78" s="12">
        <v>46263.0</v>
      </c>
      <c r="E78" s="21">
        <v>0.0</v>
      </c>
      <c r="F78" s="21">
        <v>0.0</v>
      </c>
      <c r="G78" s="22">
        <f t="shared" ref="G78:H78" si="147">G77+E78</f>
        <v>211.75</v>
      </c>
      <c r="H78" s="22">
        <f t="shared" si="147"/>
        <v>187.5</v>
      </c>
      <c r="I78" s="22">
        <f t="shared" ref="I78:J78" si="148">ROUND($M$9-G78,4)</f>
        <v>119.25</v>
      </c>
      <c r="J78" s="22">
        <f t="shared" si="148"/>
        <v>143.5</v>
      </c>
    </row>
    <row r="79" ht="15.75" customHeight="1">
      <c r="A79" s="15" t="s">
        <v>189</v>
      </c>
      <c r="B79" s="10">
        <v>21.0</v>
      </c>
      <c r="C79" s="10">
        <v>75.0</v>
      </c>
      <c r="D79" s="12">
        <v>46264.0</v>
      </c>
      <c r="E79" s="21">
        <v>0.0</v>
      </c>
      <c r="F79" s="21">
        <v>0.0</v>
      </c>
      <c r="G79" s="22">
        <f t="shared" ref="G79:H79" si="149">G78+E79</f>
        <v>211.75</v>
      </c>
      <c r="H79" s="22">
        <f t="shared" si="149"/>
        <v>187.5</v>
      </c>
      <c r="I79" s="22">
        <f t="shared" ref="I79:J79" si="150">ROUND($M$9-G79,4)</f>
        <v>119.25</v>
      </c>
      <c r="J79" s="22">
        <f t="shared" si="150"/>
        <v>143.5</v>
      </c>
    </row>
    <row r="80" ht="15.75" customHeight="1">
      <c r="A80" s="15" t="s">
        <v>189</v>
      </c>
      <c r="B80" s="10">
        <v>22.0</v>
      </c>
      <c r="C80" s="10">
        <v>76.0</v>
      </c>
      <c r="D80" s="12">
        <v>46265.0</v>
      </c>
      <c r="E80" s="21">
        <v>2.25</v>
      </c>
      <c r="F80" s="21">
        <v>1.5</v>
      </c>
      <c r="G80" s="22">
        <f t="shared" ref="G80:H80" si="151">G79+E80</f>
        <v>214</v>
      </c>
      <c r="H80" s="22">
        <f t="shared" si="151"/>
        <v>189</v>
      </c>
      <c r="I80" s="22">
        <f t="shared" ref="I80:J80" si="152">ROUND($M$9-G80,4)</f>
        <v>117</v>
      </c>
      <c r="J80" s="22">
        <f t="shared" si="152"/>
        <v>142</v>
      </c>
    </row>
    <row r="81" ht="15.75" customHeight="1">
      <c r="A81" s="15" t="s">
        <v>189</v>
      </c>
      <c r="B81" s="10">
        <v>23.0</v>
      </c>
      <c r="C81" s="10">
        <v>77.0</v>
      </c>
      <c r="D81" s="12">
        <v>46266.0</v>
      </c>
      <c r="E81" s="21">
        <v>3.0</v>
      </c>
      <c r="F81" s="21">
        <v>2.5</v>
      </c>
      <c r="G81" s="22">
        <f t="shared" ref="G81:H81" si="153">G80+E81</f>
        <v>217</v>
      </c>
      <c r="H81" s="22">
        <f t="shared" si="153"/>
        <v>191.5</v>
      </c>
      <c r="I81" s="22">
        <f t="shared" ref="I81:J81" si="154">ROUND($M$9-G81,4)</f>
        <v>114</v>
      </c>
      <c r="J81" s="22">
        <f t="shared" si="154"/>
        <v>139.5</v>
      </c>
    </row>
    <row r="82" ht="15.75" customHeight="1">
      <c r="A82" s="15" t="s">
        <v>189</v>
      </c>
      <c r="B82" s="10">
        <v>24.0</v>
      </c>
      <c r="C82" s="10">
        <v>78.0</v>
      </c>
      <c r="D82" s="12">
        <v>46267.0</v>
      </c>
      <c r="E82" s="21">
        <v>3.0</v>
      </c>
      <c r="F82" s="21">
        <v>2.0</v>
      </c>
      <c r="G82" s="22">
        <f t="shared" ref="G82:H82" si="155">G81+E82</f>
        <v>220</v>
      </c>
      <c r="H82" s="22">
        <f t="shared" si="155"/>
        <v>193.5</v>
      </c>
      <c r="I82" s="22">
        <f t="shared" ref="I82:J82" si="156">ROUND($M$9-G82,4)</f>
        <v>111</v>
      </c>
      <c r="J82" s="22">
        <f t="shared" si="156"/>
        <v>137.5</v>
      </c>
    </row>
    <row r="83" ht="15.75" customHeight="1">
      <c r="A83" s="15" t="s">
        <v>189</v>
      </c>
      <c r="B83" s="10">
        <v>25.0</v>
      </c>
      <c r="C83" s="10">
        <v>79.0</v>
      </c>
      <c r="D83" s="12">
        <v>46268.0</v>
      </c>
      <c r="E83" s="21">
        <v>3.0</v>
      </c>
      <c r="F83" s="21">
        <v>2.0</v>
      </c>
      <c r="G83" s="22">
        <f t="shared" ref="G83:H83" si="157">G82+E83</f>
        <v>223</v>
      </c>
      <c r="H83" s="22">
        <f t="shared" si="157"/>
        <v>195.5</v>
      </c>
      <c r="I83" s="22">
        <f t="shared" ref="I83:J83" si="158">ROUND($M$9-G83,4)</f>
        <v>108</v>
      </c>
      <c r="J83" s="22">
        <f t="shared" si="158"/>
        <v>135.5</v>
      </c>
    </row>
    <row r="84" ht="15.75" customHeight="1">
      <c r="A84" s="15" t="s">
        <v>189</v>
      </c>
      <c r="B84" s="10">
        <v>26.0</v>
      </c>
      <c r="C84" s="10">
        <v>80.0</v>
      </c>
      <c r="D84" s="12">
        <v>46269.0</v>
      </c>
      <c r="E84" s="21">
        <v>6.0</v>
      </c>
      <c r="F84" s="21">
        <v>4.5</v>
      </c>
      <c r="G84" s="22">
        <f t="shared" ref="G84:H84" si="159">G83+E84</f>
        <v>229</v>
      </c>
      <c r="H84" s="22">
        <f t="shared" si="159"/>
        <v>200</v>
      </c>
      <c r="I84" s="22">
        <f t="shared" ref="I84:J84" si="160">ROUND($M$9-G84,4)</f>
        <v>102</v>
      </c>
      <c r="J84" s="22">
        <f t="shared" si="160"/>
        <v>131</v>
      </c>
    </row>
    <row r="85" ht="15.75" customHeight="1">
      <c r="A85" s="15" t="s">
        <v>189</v>
      </c>
      <c r="B85" s="10">
        <v>27.0</v>
      </c>
      <c r="C85" s="10">
        <v>81.0</v>
      </c>
      <c r="D85" s="12">
        <v>46270.0</v>
      </c>
      <c r="E85" s="21">
        <v>0.0</v>
      </c>
      <c r="F85" s="21">
        <v>0.0</v>
      </c>
      <c r="G85" s="22">
        <f t="shared" ref="G85:H85" si="161">G84+E85</f>
        <v>229</v>
      </c>
      <c r="H85" s="22">
        <f t="shared" si="161"/>
        <v>200</v>
      </c>
      <c r="I85" s="22">
        <f t="shared" ref="I85:J85" si="162">ROUND($M$9-G85,4)</f>
        <v>102</v>
      </c>
      <c r="J85" s="22">
        <f t="shared" si="162"/>
        <v>131</v>
      </c>
    </row>
    <row r="86" ht="15.75" customHeight="1">
      <c r="A86" s="15" t="s">
        <v>189</v>
      </c>
      <c r="B86" s="10">
        <v>28.0</v>
      </c>
      <c r="C86" s="10">
        <v>82.0</v>
      </c>
      <c r="D86" s="12">
        <v>46271.0</v>
      </c>
      <c r="E86" s="21">
        <v>0.0</v>
      </c>
      <c r="F86" s="21">
        <v>0.0</v>
      </c>
      <c r="G86" s="22">
        <f t="shared" ref="G86:H86" si="163">G85+E86</f>
        <v>229</v>
      </c>
      <c r="H86" s="22">
        <f t="shared" si="163"/>
        <v>200</v>
      </c>
      <c r="I86" s="22">
        <f t="shared" ref="I86:J86" si="164">ROUND($M$9-G86,4)</f>
        <v>102</v>
      </c>
      <c r="J86" s="22">
        <f t="shared" si="164"/>
        <v>131</v>
      </c>
    </row>
    <row r="87" ht="15.75" customHeight="1">
      <c r="A87" s="15" t="s">
        <v>189</v>
      </c>
      <c r="B87" s="10">
        <v>29.0</v>
      </c>
      <c r="C87" s="10">
        <v>83.0</v>
      </c>
      <c r="D87" s="12">
        <v>46272.0</v>
      </c>
      <c r="E87" s="21">
        <v>7.0</v>
      </c>
      <c r="F87" s="21">
        <v>5.0</v>
      </c>
      <c r="G87" s="22">
        <f t="shared" ref="G87:H87" si="165">G86+E87</f>
        <v>236</v>
      </c>
      <c r="H87" s="22">
        <f t="shared" si="165"/>
        <v>205</v>
      </c>
      <c r="I87" s="22">
        <f t="shared" ref="I87:J87" si="166">ROUND($M$9-G87,4)</f>
        <v>95</v>
      </c>
      <c r="J87" s="22">
        <f t="shared" si="166"/>
        <v>126</v>
      </c>
    </row>
    <row r="88" ht="15.75" customHeight="1">
      <c r="A88" s="15" t="s">
        <v>189</v>
      </c>
      <c r="B88" s="10">
        <v>30.0</v>
      </c>
      <c r="C88" s="10">
        <v>84.0</v>
      </c>
      <c r="D88" s="12">
        <v>46273.0</v>
      </c>
      <c r="E88" s="21">
        <v>3.0</v>
      </c>
      <c r="F88" s="21">
        <v>2.0</v>
      </c>
      <c r="G88" s="22">
        <f t="shared" ref="G88:H88" si="167">G87+E88</f>
        <v>239</v>
      </c>
      <c r="H88" s="22">
        <f t="shared" si="167"/>
        <v>207</v>
      </c>
      <c r="I88" s="22">
        <f t="shared" ref="I88:J88" si="168">ROUND($M$9-G88,4)</f>
        <v>92</v>
      </c>
      <c r="J88" s="22">
        <f t="shared" si="168"/>
        <v>124</v>
      </c>
    </row>
    <row r="89" ht="15.75" customHeight="1">
      <c r="A89" s="15" t="s">
        <v>189</v>
      </c>
      <c r="B89" s="10">
        <v>31.0</v>
      </c>
      <c r="C89" s="10">
        <v>85.0</v>
      </c>
      <c r="D89" s="12">
        <v>46274.0</v>
      </c>
      <c r="E89" s="21">
        <v>1.5</v>
      </c>
      <c r="F89" s="21">
        <v>1.0</v>
      </c>
      <c r="G89" s="22">
        <f t="shared" ref="G89:H89" si="169">G88+E89</f>
        <v>240.5</v>
      </c>
      <c r="H89" s="22">
        <f t="shared" si="169"/>
        <v>208</v>
      </c>
      <c r="I89" s="22">
        <f t="shared" ref="I89:J89" si="170">ROUND($M$9-G89,4)</f>
        <v>90.5</v>
      </c>
      <c r="J89" s="22">
        <f t="shared" si="170"/>
        <v>123</v>
      </c>
    </row>
    <row r="90" ht="15.75" customHeight="1">
      <c r="A90" s="15" t="s">
        <v>189</v>
      </c>
      <c r="B90" s="10">
        <v>32.0</v>
      </c>
      <c r="C90" s="10">
        <v>86.0</v>
      </c>
      <c r="D90" s="12">
        <v>46275.0</v>
      </c>
      <c r="E90" s="21">
        <v>1.5</v>
      </c>
      <c r="F90" s="21">
        <v>1.0</v>
      </c>
      <c r="G90" s="22">
        <f t="shared" ref="G90:H90" si="171">G89+E90</f>
        <v>242</v>
      </c>
      <c r="H90" s="22">
        <f t="shared" si="171"/>
        <v>209</v>
      </c>
      <c r="I90" s="22">
        <f t="shared" ref="I90:J90" si="172">ROUND($M$9-G90,4)</f>
        <v>89</v>
      </c>
      <c r="J90" s="22">
        <f t="shared" si="172"/>
        <v>122</v>
      </c>
    </row>
    <row r="91" ht="15.75" customHeight="1">
      <c r="A91" s="16" t="s">
        <v>254</v>
      </c>
      <c r="B91" s="10">
        <v>1.0</v>
      </c>
      <c r="C91" s="10">
        <v>87.0</v>
      </c>
      <c r="D91" s="12">
        <v>46281.0</v>
      </c>
      <c r="E91" s="21">
        <v>5.41666666666667</v>
      </c>
      <c r="F91" s="21">
        <v>4.5</v>
      </c>
      <c r="G91" s="22">
        <f t="shared" ref="G91:H91" si="173">G90+E91</f>
        <v>247.4166667</v>
      </c>
      <c r="H91" s="22">
        <f t="shared" si="173"/>
        <v>213.5</v>
      </c>
      <c r="I91" s="22">
        <f t="shared" ref="I91:J91" si="174">ROUND($M$9-G91,4)</f>
        <v>83.5833</v>
      </c>
      <c r="J91" s="22">
        <f t="shared" si="174"/>
        <v>117.5</v>
      </c>
    </row>
    <row r="92" ht="15.75" customHeight="1">
      <c r="A92" s="16" t="s">
        <v>254</v>
      </c>
      <c r="B92" s="10">
        <v>2.0</v>
      </c>
      <c r="C92" s="10">
        <v>88.0</v>
      </c>
      <c r="D92" s="12">
        <v>46282.0</v>
      </c>
      <c r="E92" s="21">
        <v>6.66666666666667</v>
      </c>
      <c r="F92" s="21">
        <v>5.5</v>
      </c>
      <c r="G92" s="22">
        <f t="shared" ref="G92:H92" si="175">G91+E92</f>
        <v>254.0833333</v>
      </c>
      <c r="H92" s="22">
        <f t="shared" si="175"/>
        <v>219</v>
      </c>
      <c r="I92" s="22">
        <f t="shared" ref="I92:J92" si="176">ROUND($M$9-G92,4)</f>
        <v>76.9167</v>
      </c>
      <c r="J92" s="22">
        <f t="shared" si="176"/>
        <v>112</v>
      </c>
    </row>
    <row r="93" ht="15.75" customHeight="1">
      <c r="A93" s="16" t="s">
        <v>254</v>
      </c>
      <c r="B93" s="10">
        <v>3.0</v>
      </c>
      <c r="C93" s="10">
        <v>89.0</v>
      </c>
      <c r="D93" s="12">
        <v>46283.0</v>
      </c>
      <c r="E93" s="21">
        <v>0.0</v>
      </c>
      <c r="F93" s="21">
        <v>0.0</v>
      </c>
      <c r="G93" s="22">
        <f t="shared" ref="G93:H93" si="177">G92+E93</f>
        <v>254.0833333</v>
      </c>
      <c r="H93" s="22">
        <f t="shared" si="177"/>
        <v>219</v>
      </c>
      <c r="I93" s="22">
        <f t="shared" ref="I93:J93" si="178">ROUND($M$9-G93,4)</f>
        <v>76.9167</v>
      </c>
      <c r="J93" s="22">
        <f t="shared" si="178"/>
        <v>112</v>
      </c>
    </row>
    <row r="94" ht="15.75" customHeight="1">
      <c r="A94" s="16" t="s">
        <v>254</v>
      </c>
      <c r="B94" s="10">
        <v>4.0</v>
      </c>
      <c r="C94" s="10">
        <v>90.0</v>
      </c>
      <c r="D94" s="12">
        <v>46284.0</v>
      </c>
      <c r="E94" s="21">
        <v>0.0</v>
      </c>
      <c r="F94" s="21">
        <v>0.0</v>
      </c>
      <c r="G94" s="22">
        <f t="shared" ref="G94:H94" si="179">G93+E94</f>
        <v>254.0833333</v>
      </c>
      <c r="H94" s="22">
        <f t="shared" si="179"/>
        <v>219</v>
      </c>
      <c r="I94" s="22">
        <f t="shared" ref="I94:J94" si="180">ROUND($M$9-G94,4)</f>
        <v>76.9167</v>
      </c>
      <c r="J94" s="22">
        <f t="shared" si="180"/>
        <v>112</v>
      </c>
    </row>
    <row r="95" ht="15.75" customHeight="1">
      <c r="A95" s="16" t="s">
        <v>254</v>
      </c>
      <c r="B95" s="10">
        <v>5.0</v>
      </c>
      <c r="C95" s="10">
        <v>91.0</v>
      </c>
      <c r="D95" s="12">
        <v>46285.0</v>
      </c>
      <c r="E95" s="21">
        <v>0.0</v>
      </c>
      <c r="F95" s="21">
        <v>0.0</v>
      </c>
      <c r="G95" s="22">
        <f t="shared" ref="G95:H95" si="181">G94+E95</f>
        <v>254.0833333</v>
      </c>
      <c r="H95" s="22">
        <f t="shared" si="181"/>
        <v>219</v>
      </c>
      <c r="I95" s="22">
        <f t="shared" ref="I95:J95" si="182">ROUND($M$9-G95,4)</f>
        <v>76.9167</v>
      </c>
      <c r="J95" s="22">
        <f t="shared" si="182"/>
        <v>112</v>
      </c>
    </row>
    <row r="96" ht="15.75" customHeight="1">
      <c r="A96" s="16" t="s">
        <v>254</v>
      </c>
      <c r="B96" s="10">
        <v>6.0</v>
      </c>
      <c r="C96" s="10">
        <v>92.0</v>
      </c>
      <c r="D96" s="12">
        <v>46286.0</v>
      </c>
      <c r="E96" s="21">
        <v>8.41666666666667</v>
      </c>
      <c r="F96" s="21">
        <v>5.5</v>
      </c>
      <c r="G96" s="22">
        <f t="shared" ref="G96:H96" si="183">G95+E96</f>
        <v>262.5</v>
      </c>
      <c r="H96" s="22">
        <f t="shared" si="183"/>
        <v>224.5</v>
      </c>
      <c r="I96" s="22">
        <f t="shared" ref="I96:J96" si="184">ROUND($M$9-G96,4)</f>
        <v>68.5</v>
      </c>
      <c r="J96" s="22">
        <f t="shared" si="184"/>
        <v>106.5</v>
      </c>
    </row>
    <row r="97" ht="15.75" customHeight="1">
      <c r="A97" s="16" t="s">
        <v>254</v>
      </c>
      <c r="B97" s="10">
        <v>7.0</v>
      </c>
      <c r="C97" s="10">
        <v>93.0</v>
      </c>
      <c r="D97" s="12">
        <v>46287.0</v>
      </c>
      <c r="E97" s="21">
        <v>12.6666666666667</v>
      </c>
      <c r="F97" s="21">
        <v>7.5</v>
      </c>
      <c r="G97" s="22">
        <f t="shared" ref="G97:H97" si="185">G96+E97</f>
        <v>275.1666667</v>
      </c>
      <c r="H97" s="22">
        <f t="shared" si="185"/>
        <v>232</v>
      </c>
      <c r="I97" s="22">
        <f t="shared" ref="I97:J97" si="186">ROUND($M$9-G97,4)</f>
        <v>55.8333</v>
      </c>
      <c r="J97" s="22">
        <f t="shared" si="186"/>
        <v>99</v>
      </c>
    </row>
    <row r="98" ht="15.75" customHeight="1">
      <c r="A98" s="16" t="s">
        <v>254</v>
      </c>
      <c r="B98" s="10">
        <v>8.0</v>
      </c>
      <c r="C98" s="10">
        <v>94.0</v>
      </c>
      <c r="D98" s="12">
        <v>46288.0</v>
      </c>
      <c r="E98" s="21">
        <v>9.66666666666667</v>
      </c>
      <c r="F98" s="21">
        <v>6.0</v>
      </c>
      <c r="G98" s="22">
        <f t="shared" ref="G98:H98" si="187">G97+E98</f>
        <v>284.8333333</v>
      </c>
      <c r="H98" s="22">
        <f t="shared" si="187"/>
        <v>238</v>
      </c>
      <c r="I98" s="22">
        <f t="shared" ref="I98:J98" si="188">ROUND($M$9-G98,4)</f>
        <v>46.1667</v>
      </c>
      <c r="J98" s="22">
        <f t="shared" si="188"/>
        <v>93</v>
      </c>
    </row>
    <row r="99" ht="15.75" customHeight="1">
      <c r="A99" s="16" t="s">
        <v>254</v>
      </c>
      <c r="B99" s="10">
        <v>9.0</v>
      </c>
      <c r="C99" s="10">
        <v>95.0</v>
      </c>
      <c r="D99" s="12">
        <v>46289.0</v>
      </c>
      <c r="E99" s="21">
        <v>8.16666666666667</v>
      </c>
      <c r="F99" s="21">
        <v>5.5</v>
      </c>
      <c r="G99" s="22">
        <f t="shared" ref="G99:H99" si="189">G98+E99</f>
        <v>293</v>
      </c>
      <c r="H99" s="22">
        <f t="shared" si="189"/>
        <v>243.5</v>
      </c>
      <c r="I99" s="22">
        <f t="shared" ref="I99:J99" si="190">ROUND($M$9-G99,4)</f>
        <v>38</v>
      </c>
      <c r="J99" s="22">
        <f t="shared" si="190"/>
        <v>87.5</v>
      </c>
    </row>
    <row r="100" ht="15.75" customHeight="1">
      <c r="A100" s="16" t="s">
        <v>254</v>
      </c>
      <c r="B100" s="10">
        <v>10.0</v>
      </c>
      <c r="C100" s="10">
        <v>96.0</v>
      </c>
      <c r="D100" s="12">
        <v>46290.0</v>
      </c>
      <c r="E100" s="21">
        <v>7.5</v>
      </c>
      <c r="F100" s="21">
        <v>6.0</v>
      </c>
      <c r="G100" s="22">
        <f t="shared" ref="G100:H100" si="191">G99+E100</f>
        <v>300.5</v>
      </c>
      <c r="H100" s="22">
        <f t="shared" si="191"/>
        <v>249.5</v>
      </c>
      <c r="I100" s="22">
        <f t="shared" ref="I100:J100" si="192">ROUND($M$9-G100,4)</f>
        <v>30.5</v>
      </c>
      <c r="J100" s="22">
        <f t="shared" si="192"/>
        <v>81.5</v>
      </c>
    </row>
    <row r="101" ht="15.75" customHeight="1">
      <c r="A101" s="16" t="s">
        <v>254</v>
      </c>
      <c r="B101" s="10">
        <v>11.0</v>
      </c>
      <c r="C101" s="10">
        <v>97.0</v>
      </c>
      <c r="D101" s="12">
        <v>46291.0</v>
      </c>
      <c r="E101" s="21">
        <v>0.0</v>
      </c>
      <c r="F101" s="21">
        <v>0.0</v>
      </c>
      <c r="G101" s="22">
        <f t="shared" ref="G101:H101" si="193">G100+E101</f>
        <v>300.5</v>
      </c>
      <c r="H101" s="22">
        <f t="shared" si="193"/>
        <v>249.5</v>
      </c>
      <c r="I101" s="22">
        <f t="shared" ref="I101:J101" si="194">ROUND($M$9-G101,4)</f>
        <v>30.5</v>
      </c>
      <c r="J101" s="22">
        <f t="shared" si="194"/>
        <v>81.5</v>
      </c>
    </row>
    <row r="102" ht="15.75" customHeight="1">
      <c r="A102" s="16" t="s">
        <v>254</v>
      </c>
      <c r="B102" s="10">
        <v>12.0</v>
      </c>
      <c r="C102" s="10">
        <v>98.0</v>
      </c>
      <c r="D102" s="12">
        <v>46292.0</v>
      </c>
      <c r="E102" s="21">
        <v>0.0</v>
      </c>
      <c r="F102" s="21">
        <v>0.0</v>
      </c>
      <c r="G102" s="22">
        <f t="shared" ref="G102:H102" si="195">G101+E102</f>
        <v>300.5</v>
      </c>
      <c r="H102" s="22">
        <f t="shared" si="195"/>
        <v>249.5</v>
      </c>
      <c r="I102" s="22">
        <f t="shared" ref="I102:J102" si="196">ROUND($M$9-G102,4)</f>
        <v>30.5</v>
      </c>
      <c r="J102" s="22">
        <f t="shared" si="196"/>
        <v>81.5</v>
      </c>
    </row>
    <row r="103" ht="15.75" customHeight="1">
      <c r="A103" s="16" t="s">
        <v>254</v>
      </c>
      <c r="B103" s="10">
        <v>13.0</v>
      </c>
      <c r="C103" s="10">
        <v>99.0</v>
      </c>
      <c r="D103" s="12">
        <v>46293.0</v>
      </c>
      <c r="E103" s="21">
        <v>9.25</v>
      </c>
      <c r="F103" s="21">
        <v>6.5</v>
      </c>
      <c r="G103" s="22">
        <f t="shared" ref="G103:H103" si="197">G102+E103</f>
        <v>309.75</v>
      </c>
      <c r="H103" s="22">
        <f t="shared" si="197"/>
        <v>256</v>
      </c>
      <c r="I103" s="22">
        <f t="shared" ref="I103:J103" si="198">ROUND($M$9-G103,4)</f>
        <v>21.25</v>
      </c>
      <c r="J103" s="22">
        <f t="shared" si="198"/>
        <v>75</v>
      </c>
    </row>
    <row r="104" ht="15.75" customHeight="1">
      <c r="A104" s="16" t="s">
        <v>254</v>
      </c>
      <c r="B104" s="10">
        <v>14.0</v>
      </c>
      <c r="C104" s="10">
        <v>100.0</v>
      </c>
      <c r="D104" s="12">
        <v>46294.0</v>
      </c>
      <c r="E104" s="21">
        <v>7.5</v>
      </c>
      <c r="F104" s="21">
        <v>5.0</v>
      </c>
      <c r="G104" s="22">
        <f t="shared" ref="G104:H104" si="199">G103+E104</f>
        <v>317.25</v>
      </c>
      <c r="H104" s="22">
        <f t="shared" si="199"/>
        <v>261</v>
      </c>
      <c r="I104" s="22">
        <f t="shared" ref="I104:J104" si="200">ROUND($M$9-G104,4)</f>
        <v>13.75</v>
      </c>
      <c r="J104" s="22">
        <f t="shared" si="200"/>
        <v>70</v>
      </c>
    </row>
    <row r="105" ht="15.75" customHeight="1">
      <c r="A105" s="16" t="s">
        <v>254</v>
      </c>
      <c r="B105" s="10">
        <v>15.0</v>
      </c>
      <c r="C105" s="10">
        <v>101.0</v>
      </c>
      <c r="D105" s="12">
        <v>46295.0</v>
      </c>
      <c r="E105" s="21">
        <v>4.5</v>
      </c>
      <c r="F105" s="21">
        <v>3.0</v>
      </c>
      <c r="G105" s="22">
        <f t="shared" ref="G105:H105" si="201">G104+E105</f>
        <v>321.75</v>
      </c>
      <c r="H105" s="22">
        <f t="shared" si="201"/>
        <v>264</v>
      </c>
      <c r="I105" s="22">
        <f t="shared" ref="I105:J105" si="202">ROUND($M$9-G105,4)</f>
        <v>9.25</v>
      </c>
      <c r="J105" s="22">
        <f t="shared" si="202"/>
        <v>67</v>
      </c>
    </row>
    <row r="106" ht="15.75" customHeight="1">
      <c r="A106" s="16" t="s">
        <v>254</v>
      </c>
      <c r="B106" s="10">
        <v>16.0</v>
      </c>
      <c r="C106" s="10">
        <v>102.0</v>
      </c>
      <c r="D106" s="12">
        <v>46296.0</v>
      </c>
      <c r="E106" s="21">
        <v>4.5</v>
      </c>
      <c r="F106" s="21">
        <v>3.5</v>
      </c>
      <c r="G106" s="22">
        <f t="shared" ref="G106:H106" si="203">G105+E106</f>
        <v>326.25</v>
      </c>
      <c r="H106" s="22">
        <f t="shared" si="203"/>
        <v>267.5</v>
      </c>
      <c r="I106" s="22">
        <f t="shared" ref="I106:J106" si="204">ROUND($M$9-G106,4)</f>
        <v>4.75</v>
      </c>
      <c r="J106" s="22">
        <f t="shared" si="204"/>
        <v>63.5</v>
      </c>
    </row>
    <row r="107" ht="15.75" customHeight="1">
      <c r="A107" s="16" t="s">
        <v>254</v>
      </c>
      <c r="B107" s="10">
        <v>17.0</v>
      </c>
      <c r="C107" s="10">
        <v>103.0</v>
      </c>
      <c r="D107" s="12">
        <v>46297.0</v>
      </c>
      <c r="E107" s="21">
        <v>4.75</v>
      </c>
      <c r="F107" s="21">
        <v>3.0</v>
      </c>
      <c r="G107" s="22">
        <f t="shared" ref="G107:H107" si="205">G106+E107</f>
        <v>331</v>
      </c>
      <c r="H107" s="22">
        <f t="shared" si="205"/>
        <v>270.5</v>
      </c>
      <c r="I107" s="22">
        <f t="shared" ref="I107:J107" si="206">ROUND($M$9-G107,4)</f>
        <v>0</v>
      </c>
      <c r="J107" s="22">
        <f t="shared" si="206"/>
        <v>60.5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2026-09-29T21:35:40Z</dcterms:created>
  <dc:creator>openpyxl</dc:creator>
</cp:coreProperties>
</file>