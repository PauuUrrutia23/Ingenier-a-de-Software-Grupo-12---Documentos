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uu\Downloads\"/>
    </mc:Choice>
  </mc:AlternateContent>
  <xr:revisionPtr revIDLastSave="0" documentId="8_{710D9382-8554-4B65-85CE-CF4769AEAF8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eguimiento_Sprint" sheetId="1" r:id="rId1"/>
    <sheet name="Burn_Up_Down" sheetId="2" r:id="rId2"/>
    <sheet name="Burn_Global_I1_I2" sheetId="3" r:id="rId3"/>
  </sheets>
  <definedNames>
    <definedName name="_xlnm._FilterDatabase" localSheetId="0" hidden="1">Seguimiento_Sprint!$A$3:$M$77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3" i="3" l="1"/>
  <c r="E53" i="3"/>
  <c r="D53" i="3"/>
  <c r="F52" i="3"/>
  <c r="E52" i="3"/>
  <c r="D52" i="3"/>
  <c r="F51" i="3"/>
  <c r="E51" i="3"/>
  <c r="D51" i="3"/>
  <c r="F50" i="3"/>
  <c r="E50" i="3"/>
  <c r="D50" i="3"/>
  <c r="F49" i="3"/>
  <c r="E49" i="3"/>
  <c r="D49" i="3"/>
  <c r="F48" i="3"/>
  <c r="E48" i="3"/>
  <c r="D48" i="3"/>
  <c r="F47" i="3"/>
  <c r="E47" i="3"/>
  <c r="D47" i="3"/>
  <c r="F46" i="3"/>
  <c r="E46" i="3"/>
  <c r="D46" i="3"/>
  <c r="F45" i="3"/>
  <c r="E45" i="3"/>
  <c r="D45" i="3"/>
  <c r="F44" i="3"/>
  <c r="E44" i="3"/>
  <c r="D44" i="3"/>
  <c r="F43" i="3"/>
  <c r="E43" i="3"/>
  <c r="D43" i="3"/>
  <c r="F42" i="3"/>
  <c r="E42" i="3"/>
  <c r="D42" i="3"/>
  <c r="F41" i="3"/>
  <c r="E41" i="3"/>
  <c r="D41" i="3"/>
  <c r="F40" i="3"/>
  <c r="E40" i="3"/>
  <c r="D40" i="3"/>
  <c r="F39" i="3"/>
  <c r="E39" i="3"/>
  <c r="D39" i="3"/>
  <c r="F38" i="3"/>
  <c r="E38" i="3"/>
  <c r="D38" i="3"/>
  <c r="F37" i="3"/>
  <c r="E37" i="3"/>
  <c r="D37" i="3"/>
  <c r="F36" i="3"/>
  <c r="E36" i="3"/>
  <c r="D36" i="3"/>
  <c r="F35" i="3"/>
  <c r="E35" i="3"/>
  <c r="D35" i="3"/>
  <c r="F34" i="3"/>
  <c r="E34" i="3"/>
  <c r="D34" i="3"/>
  <c r="F33" i="3"/>
  <c r="E33" i="3"/>
  <c r="D33" i="3"/>
  <c r="F32" i="3"/>
  <c r="E32" i="3"/>
  <c r="D32" i="3"/>
  <c r="F31" i="3"/>
  <c r="E31" i="3"/>
  <c r="D31" i="3"/>
  <c r="F30" i="3"/>
  <c r="E30" i="3"/>
  <c r="D30" i="3"/>
  <c r="F29" i="3"/>
  <c r="E29" i="3"/>
  <c r="D29" i="3"/>
  <c r="F28" i="3"/>
  <c r="E28" i="3"/>
  <c r="D28" i="3"/>
  <c r="F27" i="3"/>
  <c r="E27" i="3"/>
  <c r="D27" i="3"/>
  <c r="F26" i="3"/>
  <c r="E26" i="3"/>
  <c r="D26" i="3"/>
  <c r="F25" i="3"/>
  <c r="E25" i="3"/>
  <c r="D25" i="3"/>
  <c r="F24" i="3"/>
  <c r="E24" i="3"/>
  <c r="D24" i="3"/>
  <c r="F23" i="3"/>
  <c r="E23" i="3"/>
  <c r="D23" i="3"/>
  <c r="F22" i="3"/>
  <c r="E22" i="3"/>
  <c r="D22" i="3"/>
  <c r="M5" i="3"/>
  <c r="M6" i="3" s="1"/>
  <c r="H5" i="3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G5" i="3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K4" i="2"/>
  <c r="I9" i="3" l="1"/>
  <c r="I12" i="3"/>
  <c r="J21" i="3"/>
  <c r="I37" i="3"/>
  <c r="J39" i="3"/>
  <c r="J42" i="3"/>
  <c r="I49" i="3"/>
  <c r="I18" i="3"/>
  <c r="I39" i="3"/>
  <c r="J8" i="3"/>
  <c r="I20" i="3"/>
  <c r="J40" i="3"/>
  <c r="I41" i="3"/>
  <c r="I44" i="3"/>
  <c r="I46" i="3"/>
  <c r="J46" i="3"/>
  <c r="I47" i="3"/>
  <c r="I48" i="3"/>
  <c r="I50" i="3"/>
  <c r="J6" i="3"/>
  <c r="J11" i="3"/>
  <c r="I19" i="3"/>
  <c r="J20" i="3"/>
  <c r="J43" i="3"/>
  <c r="J45" i="3"/>
  <c r="J52" i="3"/>
  <c r="J5" i="3"/>
  <c r="I38" i="3"/>
  <c r="J44" i="3"/>
  <c r="J49" i="3"/>
  <c r="J50" i="3"/>
  <c r="I51" i="3"/>
  <c r="J51" i="3"/>
  <c r="I53" i="3"/>
  <c r="I6" i="3"/>
  <c r="I8" i="3"/>
  <c r="I10" i="3"/>
  <c r="J22" i="3"/>
  <c r="J36" i="3"/>
  <c r="J37" i="3"/>
  <c r="J38" i="3"/>
  <c r="I40" i="3"/>
  <c r="I42" i="3"/>
  <c r="I43" i="3"/>
  <c r="I45" i="3"/>
  <c r="J47" i="3"/>
  <c r="J48" i="3"/>
  <c r="I52" i="3"/>
  <c r="J53" i="3"/>
  <c r="I7" i="3"/>
  <c r="J12" i="3"/>
  <c r="J18" i="3"/>
  <c r="J19" i="3"/>
  <c r="J41" i="3"/>
  <c r="J7" i="3"/>
  <c r="J9" i="3"/>
  <c r="J10" i="3"/>
  <c r="I13" i="3"/>
  <c r="J13" i="3"/>
  <c r="I14" i="3"/>
  <c r="J14" i="3"/>
  <c r="I15" i="3"/>
  <c r="J15" i="3"/>
  <c r="I16" i="3"/>
  <c r="J16" i="3"/>
  <c r="I17" i="3"/>
  <c r="I5" i="3"/>
  <c r="I11" i="3"/>
  <c r="J17" i="3"/>
  <c r="I21" i="3"/>
  <c r="I22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I34" i="3"/>
  <c r="J34" i="3"/>
  <c r="I35" i="3"/>
  <c r="J35" i="3"/>
  <c r="I36" i="3"/>
  <c r="F21" i="2"/>
  <c r="H20" i="2"/>
  <c r="E21" i="2"/>
  <c r="G20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G11" i="2"/>
  <c r="H10" i="2"/>
  <c r="G10" i="2"/>
  <c r="H9" i="2"/>
  <c r="G9" i="2"/>
  <c r="H8" i="2"/>
  <c r="G8" i="2"/>
  <c r="H7" i="2"/>
  <c r="G7" i="2"/>
  <c r="H6" i="2"/>
  <c r="G6" i="2"/>
  <c r="H19" i="2"/>
  <c r="G19" i="2"/>
  <c r="H5" i="2"/>
  <c r="G5" i="2"/>
  <c r="H18" i="2"/>
  <c r="H11" i="2"/>
  <c r="F22" i="2" l="1"/>
  <c r="H21" i="2"/>
  <c r="E22" i="2"/>
  <c r="G21" i="2"/>
  <c r="F23" i="2" l="1"/>
  <c r="H22" i="2"/>
  <c r="G22" i="2"/>
  <c r="E23" i="2"/>
  <c r="F24" i="2" l="1"/>
  <c r="H23" i="2"/>
  <c r="E24" i="2"/>
  <c r="G23" i="2"/>
  <c r="H24" i="2" l="1"/>
  <c r="F25" i="2"/>
  <c r="E25" i="2"/>
  <c r="G24" i="2"/>
  <c r="F26" i="2" l="1"/>
  <c r="H25" i="2"/>
  <c r="G25" i="2"/>
  <c r="E26" i="2"/>
  <c r="F27" i="2" l="1"/>
  <c r="H26" i="2"/>
  <c r="G26" i="2"/>
  <c r="E27" i="2"/>
  <c r="H27" i="2" l="1"/>
  <c r="F28" i="2"/>
  <c r="E28" i="2"/>
  <c r="G27" i="2"/>
  <c r="F29" i="2" l="1"/>
  <c r="H28" i="2"/>
  <c r="E29" i="2"/>
  <c r="G28" i="2"/>
  <c r="F30" i="2" l="1"/>
  <c r="H29" i="2"/>
  <c r="G29" i="2"/>
  <c r="E30" i="2"/>
  <c r="F31" i="2" l="1"/>
  <c r="H30" i="2"/>
  <c r="E31" i="2"/>
  <c r="G30" i="2"/>
  <c r="F32" i="2" l="1"/>
  <c r="H31" i="2"/>
  <c r="G31" i="2"/>
  <c r="E32" i="2"/>
  <c r="F33" i="2" l="1"/>
  <c r="H32" i="2"/>
  <c r="G32" i="2"/>
  <c r="E33" i="2"/>
  <c r="F34" i="2" l="1"/>
  <c r="H33" i="2"/>
  <c r="G33" i="2"/>
  <c r="E34" i="2"/>
  <c r="H34" i="2" l="1"/>
  <c r="F35" i="2"/>
  <c r="G34" i="2"/>
  <c r="E35" i="2"/>
  <c r="H35" i="2" l="1"/>
  <c r="F36" i="2"/>
  <c r="H36" i="2" s="1"/>
  <c r="G35" i="2"/>
  <c r="E36" i="2"/>
  <c r="G36" i="2" s="1"/>
</calcChain>
</file>

<file path=xl/sharedStrings.xml><?xml version="1.0" encoding="utf-8"?>
<sst xmlns="http://schemas.openxmlformats.org/spreadsheetml/2006/main" count="734" uniqueCount="322">
  <si>
    <t>Seguimiento sprint Documento 0, Incremento 1 y Incremento 2</t>
  </si>
  <si>
    <t>PILA DEL PRODUCTO</t>
  </si>
  <si>
    <t>SEGUIMIENTO</t>
  </si>
  <si>
    <t>PROYECTO</t>
  </si>
  <si>
    <t>Verificación</t>
  </si>
  <si>
    <t>Incremento</t>
  </si>
  <si>
    <t>Prioridad</t>
  </si>
  <si>
    <t>Categoría</t>
  </si>
  <si>
    <t>Tarea</t>
  </si>
  <si>
    <t>Responsable</t>
  </si>
  <si>
    <t>Estimar HH</t>
  </si>
  <si>
    <t>Registro Diario en Horas</t>
  </si>
  <si>
    <t>Inicio</t>
  </si>
  <si>
    <t>Fin</t>
  </si>
  <si>
    <t>HH Efectivas</t>
  </si>
  <si>
    <t>Revisión</t>
  </si>
  <si>
    <t>Estado</t>
  </si>
  <si>
    <t>Detalles</t>
  </si>
  <si>
    <t>Documento 0</t>
  </si>
  <si>
    <t>Iniciación</t>
  </si>
  <si>
    <t>Solicitud formal de la iniciativa por parte del grupo de trabajo</t>
  </si>
  <si>
    <t>Vicente Ortega Nobizelli</t>
  </si>
  <si>
    <t>24-03-2026  1 H</t>
  </si>
  <si>
    <t>OK</t>
  </si>
  <si>
    <t>Se formalizó ante el grupo de trabajo la solicitud de inicio de la iniciativa del proyecto. Entregable: acta de solicitud formal. Criterio de aceptación: iniciativa presentada y aceptada por todos los integrantes; evidencia: registro de acuerdo incorporado al Documento 0.</t>
  </si>
  <si>
    <t>Crear la visión del proyecto</t>
  </si>
  <si>
    <t>Todos</t>
  </si>
  <si>
    <t>25-03-2026  2 H</t>
  </si>
  <si>
    <t>Se redactó la visión general del proyecto, describiendo el propósito y el valor esperado para la organización. Entregable: declaración de visión del proyecto. Criterio de aceptación: visión clara, alineada con los objetivos de Ingecon; evidencia: sección incorporada al Documento 0.</t>
  </si>
  <si>
    <t>Identificación de roles dentro del equipo</t>
  </si>
  <si>
    <t>27-03-2026  1 H</t>
  </si>
  <si>
    <t>Se definieron y asignaron los roles y responsabilidades de cada integrante del equipo de trabajo. Entregable: matriz de roles y responsabilidades. Criterio de aceptación: roles asignados sin duplicidad y aceptados por el equipo; evidencia: tabla de roles incorporada al Documento 0.</t>
  </si>
  <si>
    <t>Planificación y Estimación</t>
  </si>
  <si>
    <t>Construir product backlog</t>
  </si>
  <si>
    <t>27-03-2026  1.5 H
30-03-2026  1.5 H
01-04-2026  1 H</t>
  </si>
  <si>
    <t>Se construyó el product backlog inicial del proyecto, priorizando las funcionalidades a desarrollar. Entregable: product backlog priorizado. Criterio de aceptación: ítems priorizados y estimados a nivel general; evidencia: backlog incorporado a la planificación del proyecto.</t>
  </si>
  <si>
    <t>Introducción</t>
  </si>
  <si>
    <t>Paulina Urrutia Moya</t>
  </si>
  <si>
    <t>21-03-2026  1 H
23-03-2026  1 H
25-03-2026  1 H</t>
  </si>
  <si>
    <t>Se redactó la introducción del Documento 0, presentando el propósito, alcance y estructura del informe. Entregable: sección de introducción. Criterio de aceptación: propósito y alcance del documento claramente expuestos; evidencia: sección integrada al Documento 0.</t>
  </si>
  <si>
    <t>Contexto</t>
  </si>
  <si>
    <t>Tomás Hurtado Silva</t>
  </si>
  <si>
    <t>Se describió el contexto organizacional de la empresa Ingecon, incluyendo su rubro, trayectoria y estructura. Entregable: sección de contexto de la organización. Criterio de aceptación: información general de la empresa completa y verificada; evidencia: sección integrada al Documento 0.</t>
  </si>
  <si>
    <t>Problema</t>
  </si>
  <si>
    <t>Benjamín Parraguez Aguirre</t>
  </si>
  <si>
    <t>28-03-2026  1 H
31-03-2026  1 H
03-04-2026  1 H</t>
  </si>
  <si>
    <t>Se identificó y describió la problemática que da origen al proyecto. Entregable: sección de descripción de la problemática. Criterio de aceptación: problemática claramente definida y justificada; evidencia: sección integrada al Documento 0.</t>
  </si>
  <si>
    <t>Objetivo General</t>
  </si>
  <si>
    <t>27-03-2026  1 H
05-04-2026  1 H</t>
  </si>
  <si>
    <t>Se redactó el objetivo general del proyecto en base a la problemática identificada. Entregable: objetivo general. Criterio de aceptación: objetivo medible y alineado con la problemática; evidencia: sección integrada al Documento 0.</t>
  </si>
  <si>
    <t>Objetivos Específicos</t>
  </si>
  <si>
    <t>28-03-2026  1 H
05-04-2026  1 H</t>
  </si>
  <si>
    <t>Se definieron los objetivos específicos derivados del objetivo general del proyecto. Entregable: listado de objetivos específicos. Criterio de aceptación: objetivos medibles y consistentes con el objetivo general; evidencia: sección integrada al Documento 0.</t>
  </si>
  <si>
    <t>Organigramas</t>
  </si>
  <si>
    <t>26-03-2026  1 H
01-04-2026  1 H</t>
  </si>
  <si>
    <t>Se elaboraron los organigramas de la empresa representando su estructura jerárquica y funcional. Entregable: organigramas de la organización. Criterio de aceptación: estructura organizacional representada correctamente; evidencia: diagramas incorporados al Documento 0.</t>
  </si>
  <si>
    <t>Levantamiento de Requerimientos</t>
  </si>
  <si>
    <t>Preparar la Entrevista del Usuario</t>
  </si>
  <si>
    <t>22-03-2026  1 H
23-03-2026  1 H</t>
  </si>
  <si>
    <t>Se prepararon las preguntas y la pauta de la entrevista a realizar al usuario/cliente. Entregable: pauta de entrevista. Criterio de aceptación: preguntas alineadas con los objetivos del levantamiento; evidencia: pauta utilizada en la primera entrevista.</t>
  </si>
  <si>
    <t>Análisis Externo</t>
  </si>
  <si>
    <t>PEST o PESTEL</t>
  </si>
  <si>
    <t>31-03-2026  1 H
02-04-2026  1 H
05-04-2026  1 H</t>
  </si>
  <si>
    <t>Se desarrolló el análisis PESTEL de factores políticos, económicos, sociales, tecnológicos, ecológicos y legales que afectan a la organización. Entregable: análisis PESTEL. Criterio de aceptación: factores externos identificados y justificados; evidencia: sección integrada al Documento 0.</t>
  </si>
  <si>
    <t>Primera Entrevista Usuario</t>
  </si>
  <si>
    <t>Vicente Ortega Nobizelli, Tomás Hurtado Silva, Benjamín Parraguez Aguirre</t>
  </si>
  <si>
    <t>24-03-2026  3 H</t>
  </si>
  <si>
    <t>Se realizó la primera entrevista con el usuario/cliente para levantar información inicial del negocio. Entregable: minuta de la primera entrevista. Criterio de aceptación: información relevante registrada y validada; evidencia: minuta incorporada al levantamiento de requerimientos.</t>
  </si>
  <si>
    <t>Análisis Interno-Externo</t>
  </si>
  <si>
    <t>Foda</t>
  </si>
  <si>
    <t>Se elaboró el análisis FODA identificando fortalezas, oportunidades, debilidades y amenazas de la organización. Entregable: matriz FODA. Criterio de aceptación: elementos identificados y respaldados con evidencia; evidencia: sección integrada al Documento 0.</t>
  </si>
  <si>
    <t>Análisis Interno</t>
  </si>
  <si>
    <t>Cadena de valor</t>
  </si>
  <si>
    <t>30-03-2026  1 H
01-04-2026  1 H</t>
  </si>
  <si>
    <t>Se construyó la cadena de valor de la organización identificando actividades primarias y de apoyo. Entregable: cadena de valor. Criterio de aceptación: actividades correctamente clasificadas; evidencia: diagrama incorporado al Documento 0.</t>
  </si>
  <si>
    <t>Planificación</t>
  </si>
  <si>
    <t>Sprint Planning</t>
  </si>
  <si>
    <t>31-03-2026  2 H</t>
  </si>
  <si>
    <t>Se realizó la reunión de Sprint Planning para organizar las tareas del desarrollo del Documento 0. Entregable: planificación del sprint. Criterio de aceptación: tareas, responsables y plazos definidos; evidencia: minuta de planificación. Nota: la carta Gantt registra para esta tarea una fecha de término (10-03-2026) anterior a la de inicio (31-03-2026), lo que corresponde a un error de digitación en el archivo original; se utilizó la fecha de inicio como fecha única de la tarea.</t>
  </si>
  <si>
    <t>Análisis Cualitativo</t>
  </si>
  <si>
    <t>Ishikawa</t>
  </si>
  <si>
    <t>Diego Carabajal Belmar</t>
  </si>
  <si>
    <t>22-03-2026  1 H
25-03-2026  1 H
27-03-2026  1 H</t>
  </si>
  <si>
    <t>Se elaboró el diagrama de Ishikawa para identificar las causas raíz de la problemática detectada. Entregable: diagrama de Ishikawa. Criterio de aceptación: causas identificadas y clasificadas coherentemente; evidencia: diagrama integrado al análisis cualitativo del Documento 0.</t>
  </si>
  <si>
    <t>Levantamiento de Procesos</t>
  </si>
  <si>
    <t>Levantamiento de Procesos (Bizagi)</t>
  </si>
  <si>
    <t>Diego Sepúlveda Solar, Vicente Ortega Nobizelli</t>
  </si>
  <si>
    <t>04-04-2026  1 H
06-04-2026  2 H</t>
  </si>
  <si>
    <t>Se modelaron en Bizagi los procesos generales de la organización (manufactura, ensamble, transporte y despacho). Entregable: diagramas de procesos en Bizagi. Criterio de aceptación: procesos modelados de forma completa y coherente con la operación real; evidencia: diagramas incorporados al Documento 0.</t>
  </si>
  <si>
    <t>Porter</t>
  </si>
  <si>
    <t>04-04-2026  1 H
05-04-2026  1 H</t>
  </si>
  <si>
    <t>Se desarrolló el análisis de las 5 fuerzas de Porter para evaluar la posición competitiva de la organización. Entregable: análisis de Porter. Criterio de aceptación: las cinco fuerzas analizadas y justificadas; evidencia: sección integrada al Documento 0.</t>
  </si>
  <si>
    <t>Análisis Cuantitativo</t>
  </si>
  <si>
    <t>Histograma</t>
  </si>
  <si>
    <t>06-04-2026  1 H</t>
  </si>
  <si>
    <t>Se construyó el histograma con datos cuantitativos relevantes de la organización para el análisis cuantitativo. Entregable: histograma. Criterio de aceptación: datos representados correctamente y con conclusiones asociadas; evidencia: gráfico incorporado al Documento 0.</t>
  </si>
  <si>
    <t>Requerimientos</t>
  </si>
  <si>
    <t>Levantar Requerimientos de Usuario</t>
  </si>
  <si>
    <t>Paulina Urrutia Moya, Tomás Hurtado Silva</t>
  </si>
  <si>
    <t>21-03-2026  2 H
31-03-2026  2 H
08-04-2026  2 H
15-04-2026  2 H</t>
  </si>
  <si>
    <t>Se relevaron los requerimientos del usuario a través de entrevistas y revisión documental, consolidando la información recabada. Entregable: listado preliminar de requerimientos. Criterio de aceptación: requerimientos identificados, redactados y validados con el cliente; evidencia: registro de requerimientos levantados.</t>
  </si>
  <si>
    <t>Envío de correo de aceptación de requisitos</t>
  </si>
  <si>
    <t>08-04-2026  1 H</t>
  </si>
  <si>
    <t>Se envió al cliente el correo formal de aceptación de los requisitos levantados. Entregable: correo de aceptación de requisitos. Criterio de aceptación: aceptación formal recibida por parte del cliente; evidencia: correo incorporado como respaldo del levantamiento.</t>
  </si>
  <si>
    <t>Pasar Requerimientos Funcionales a UR (estándar ESA)</t>
  </si>
  <si>
    <t>Tomás Hurtado Silva, Paulina Urrutia Moya</t>
  </si>
  <si>
    <t>17-03-2026  2 H
01-04-2026  2 H
17-04-2026  2 H</t>
  </si>
  <si>
    <t>Se estructuraron los requerimientos funcionales bajo el estándar ESA (User Requirements). Entregable: requerimientos funcionales en formato UR. Criterio de aceptación: requerimientos redactados según el estándar y trazables; evidencia: sección de requerimientos integrada al Documento 0.</t>
  </si>
  <si>
    <t>Casos de Uso</t>
  </si>
  <si>
    <t>Diagrama de casos de uso</t>
  </si>
  <si>
    <t>31-03-2026  1.5 H
10-04-2026  2 H
18-04-2026  1.5 H</t>
  </si>
  <si>
    <t>Se elaboró el diagrama de casos de uso general del sistema en base a los requerimientos levantados. Entregable: diagrama de casos de uso. Criterio de aceptación: actores y casos de uso correctamente representados; evidencia: diagrama incorporado al Documento 0.</t>
  </si>
  <si>
    <t>Casos de uso Extendido</t>
  </si>
  <si>
    <t>01-04-2026  2 H
08-04-2026  1.5 H
15-04-2026  1.5 H</t>
  </si>
  <si>
    <t>Se documentaron los casos de uso extendidos, describiendo flujo principal, flujos alternativos y precondiciones. Entregable: descripciones extendidas de casos de uso. Criterio de aceptación: casos de uso completos y trazables con los requerimientos; evidencia: sección integrada al Documento 0.</t>
  </si>
  <si>
    <t>Evaluación Económica</t>
  </si>
  <si>
    <t>Estimación de costos y beneficios</t>
  </si>
  <si>
    <t>11-04-2026  1.5 H
17-04-2026  1.5 H</t>
  </si>
  <si>
    <t>Se estimaron los costos y beneficios asociados al desarrollo del proyecto. Entregable: estimación de costos y beneficios. Criterio de aceptación: cifras justificadas y coherentes con el alcance definido; evidencia: sección integrada al Documento 0.</t>
  </si>
  <si>
    <t>Trazabilidad</t>
  </si>
  <si>
    <t>Matriz de requerimientos v/s casos de uso</t>
  </si>
  <si>
    <t>01-04-2026  1 H
18-04-2026  2 H</t>
  </si>
  <si>
    <t>Se elaboró la matriz de trazabilidad entre los requerimientos y los casos de uso definidos. Entregable: matriz de requerimientos vs casos de uso. Criterio de aceptación: todos los requerimientos asociados a al menos un caso de uso; evidencia: matriz incorporada al Documento 0.</t>
  </si>
  <si>
    <t>Cierre Documento 0</t>
  </si>
  <si>
    <t>Revisión del Documento 0</t>
  </si>
  <si>
    <t>Diego Sepúlveda Solar, Vicente Ortega Nobizelli, Diego Carabajal Belmar</t>
  </si>
  <si>
    <t>16-04-2026  2 H</t>
  </si>
  <si>
    <t>Se realizó la revisión integral del Documento 0 antes de su entrega. Entregable: informe de observaciones de revisión. Criterio de aceptación: observaciones registradas y priorizadas; evidencia: pauta de revisión del documento.</t>
  </si>
  <si>
    <t>Correcciones Documento 0</t>
  </si>
  <si>
    <t>16-04-2026  1 H
19-04-2026  2 H</t>
  </si>
  <si>
    <t>Se aplicaron las correcciones identificadas en la revisión del Documento 0. Entregable: Documento 0 corregido. Criterio de aceptación: observaciones resueltas en su totalidad; evidencia: documento actualizado con cambios trazables.</t>
  </si>
  <si>
    <t>Entregar el Documento 0</t>
  </si>
  <si>
    <t>19-04-2026  1 H</t>
  </si>
  <si>
    <t>Se realizó la entrega formal del Documento 0 al profesor guía. Entregable: Documento 0 entregado. Criterio de aceptación: documento entregado dentro del plazo establecido; evidencia: comprobante/registro de entrega.</t>
  </si>
  <si>
    <t>Preparación Presentación</t>
  </si>
  <si>
    <t>20-04-2026  1 H
21-04-2026  1 H</t>
  </si>
  <si>
    <t>Se preparó la presentación oral del Documento 0, incluyendo diapositivas y distribución de temas por integrante. Entregable: presentación preparada. Criterio de aceptación: contenido resumido y roles de exposición asignados; evidencia: material de presentación.</t>
  </si>
  <si>
    <t>Hacer la Presentación del Documento 0</t>
  </si>
  <si>
    <t>22-04-2026  1 H</t>
  </si>
  <si>
    <t>Se realizó la presentación oral del Documento 0 ante el profesor guía. Entregable: presentación realizada. Criterio de aceptación: exposición completa dentro del tiempo asignado; evidencia: registro/retroalimentación de la presentación.</t>
  </si>
  <si>
    <t>Incremento 1</t>
  </si>
  <si>
    <t>Base de Datos</t>
  </si>
  <si>
    <t>MERE</t>
  </si>
  <si>
    <t>10-05-2026  2 H
13-05-2026  2 H
19-05-2026  1 H</t>
  </si>
  <si>
    <t>Entregable: modelo entidad-relacion extendido y fundamentacion normalizada. Criterio de aceptacion: entidades, relaciones, cardinalidades y reglas de negocio coherentes con los requisitos; evidencia: diagrama revisado y observaciones resueltas.</t>
  </si>
  <si>
    <t>Modelo Físico</t>
  </si>
  <si>
    <t>19-05-2026  1 H</t>
  </si>
  <si>
    <t>Entregable: transformacion fisica de la base de datos. Criterio de aceptacion: tablas, claves primarias/foraneas, tipos de datos y restricciones alineadas al modelo relacional; evidencia: esquema documentado para implementacion.</t>
  </si>
  <si>
    <t>Modelo Relacional</t>
  </si>
  <si>
    <t>09-05-2026  1 H
20-05-2026  1 H</t>
  </si>
  <si>
    <t>Entregable: modelo relacional validado. Criterio de aceptacion: relaciones normalizadas, dependencias correctamente representadas y consistencia con MERE/FN; evidencia: tabla relacional revisada.</t>
  </si>
  <si>
    <t>Código PostgreSQL</t>
  </si>
  <si>
    <t>21-05-2026  1 H</t>
  </si>
  <si>
    <t>Entregable: script SQL de creacion y restricciones. Criterio de aceptacion: ejecucion sin errores, claves e integridad referencial configuradas; evidencia: script probado y pendiente de cierre funcional si aplica.</t>
  </si>
  <si>
    <t>Vistas 4 + 1</t>
  </si>
  <si>
    <t>D de Despliegue</t>
  </si>
  <si>
    <t>15-05-2026  1 H
17-05-2026  1 H</t>
  </si>
  <si>
    <t>Entregable: diagrama de despliegue. Criterio de aceptacion: nodos, artefactos, conexiones y ambiente de ejecucion identificados; evidencia: vista arquitectonica incorporada al informe.</t>
  </si>
  <si>
    <t>D de Secuencia</t>
  </si>
  <si>
    <t>10-05-2026  3 H
15-05-2026  3 H
22-05-2026  1 H</t>
  </si>
  <si>
    <t>Entregable: diagrama de secuencia. Criterio de aceptacion: actores, objetos, mensajes y flujo temporal consistentes con el caso de uso; evidencia: diagrama revisado e integrado.</t>
  </si>
  <si>
    <t>Bizagi</t>
  </si>
  <si>
    <t>Corrección diagramas</t>
  </si>
  <si>
    <t>17-05-2026  2 H
20-05-2026  1 H</t>
  </si>
  <si>
    <t>Entregable: diagramas Bizagi corregidos. Criterio de aceptacion: flujo BPMN legible, compuertas/eventos bien utilizados y consistencia con el proceso documentado; evidencia: version corregida anexada.</t>
  </si>
  <si>
    <t>Informe</t>
  </si>
  <si>
    <t>Corrección formato</t>
  </si>
  <si>
    <t>12-05-2026  2 H</t>
  </si>
  <si>
    <t>Entregable: informe con formato corregido. Criterio de aceptacion: portada, indices, estilos, numeracion, referencias y anexos homogeneos; evidencia: revision final sin inconsistencias visibles.</t>
  </si>
  <si>
    <t>D de Componentes</t>
  </si>
  <si>
    <t>17-05-2026  2 H</t>
  </si>
  <si>
    <t>Entregable: diagrama de componentes. Criterio de aceptacion: modulos, dependencias e interfaces del sistema representados de forma coherente; evidencia: vista 4+1 incorporada.</t>
  </si>
  <si>
    <t>Arquitectura</t>
  </si>
  <si>
    <t>Corrección de la Dimensión Técnica</t>
  </si>
  <si>
    <t>Entregable: descripcion de dimension tecnica. Criterio de aceptacion: tecnologias, arquitectura, base de datos y decisiones tecnicas justificadas; evidencia: seccion integrada al informe.</t>
  </si>
  <si>
    <t>Scrum Diario</t>
  </si>
  <si>
    <t>09-05-2026  0.5 H
16-05-2026  0.5 H
23-05-2026  0.5 H</t>
  </si>
  <si>
    <t>Entregable: registros de seguimiento diario. Criterio de aceptacion: avances, responsables, horas y acuerdos documentados; evidencia: bitacora actualizada para control del sprint.</t>
  </si>
  <si>
    <t>Carta Gantt</t>
  </si>
  <si>
    <t>Entregable: cronograma del sprint. Criterio de aceptacion: tareas, responsables, fechas, estados y avance visibles; evidencia: carta Gantt separada y coherente con el seguimiento.</t>
  </si>
  <si>
    <t>Desarrollo Web</t>
  </si>
  <si>
    <t>Programación</t>
  </si>
  <si>
    <t>23-05-2026  2 H
24-05-2026  2 H
25-05-2026  3 H</t>
  </si>
  <si>
    <t>Entregable: Código en github con la página web implementada incluido el video de demostración.</t>
  </si>
  <si>
    <t>23-05-2026  2 H
24-05-2026  3 H
25-05-2026  3 H</t>
  </si>
  <si>
    <t>Desarrollo Informe I1</t>
  </si>
  <si>
    <t>Entregable: secciones asignadas del Informe Incremento 1. Criterio de aceptacion: redaccion clara, evidencias insertadas, formato institucional aplicado y trazabilidad con tareas del sprint.</t>
  </si>
  <si>
    <t>23-05-2026  2 H
25-05-2026  2 H</t>
  </si>
  <si>
    <t>Diego Sepúlveda Solar</t>
  </si>
  <si>
    <t>Incremento 2</t>
  </si>
  <si>
    <t>Vista lógica</t>
  </si>
  <si>
    <t>10-08-2026  1 H
11-08-2026  1 H</t>
  </si>
  <si>
    <t>Se modeló la vista lógica de la base de datos (entidades, atributos y relaciones). Entregable: modelo relacional validado. Criterio de aceptación: relaciones normalizadas, dependencias correctamente representadas y consistencia con MER/FN; evidencia: diagrama de vista lógica revisado e incorporado al informe.</t>
  </si>
  <si>
    <t>Código MySQL</t>
  </si>
  <si>
    <t>12-08-2026  1 H
13-08-2026  1 H</t>
  </si>
  <si>
    <t>Se generó y depuró el script SQL de creación de tablas, claves e integridad referencial. Entregable: script SQL de creación y restricciones. Criterio de aceptación: ejecución sin errores, claves e integridad referencial configuradas; evidencia: script probado en MySQL Workbench.</t>
  </si>
  <si>
    <t>13-08-2026  1 H
14-08-2026  1 H</t>
  </si>
  <si>
    <t>Se elaboró el diagrama de despliegue identificando nodos, artefactos y ambiente de ejecución. Entregable: diagrama de despliegue. Criterio de aceptación: nodos, artefactos, conexiones y ambiente de ejecución identificados; evidencia: vista arquitectónica incorporada al informe.</t>
  </si>
  <si>
    <t>10-08-2026  1.5 H
12-08-2026  1.5 H
14-08-2026  1 H</t>
  </si>
  <si>
    <t>Se construyó el diagrama de secuencia del caso de uso principal (actores, objetos y mensajes), verificando la consistencia del flujo temporal. Entregable: diagrama de secuencia. Criterio de aceptación: actores, objetos, mensajes y flujo temporal consistentes con el caso de uso; evidencia: diagrama revisado e integrado.</t>
  </si>
  <si>
    <t>Corrección formato informe</t>
  </si>
  <si>
    <t>Se corrigió el formato general del informe (portada, índices, estilos y numeración) aplicando la plantilla institucional. Entregable: informe con formato corregido. Criterio de aceptación: portada, índices, estilos, numeración, referencias y anexos homogéneos; evidencia: revisión final sin inconsistencias visibles.</t>
  </si>
  <si>
    <t>14-08-2026  1.5 H</t>
  </si>
  <si>
    <t>Se diseñó el diagrama de componentes representando módulos, dependencias e interfaces del sistema. Entregable: diagrama de componentes. Criterio de aceptación: módulos, dependencias e interfaces del sistema representados de forma coherente; evidencia: vista 4+1 incorporada.</t>
  </si>
  <si>
    <t>Documento</t>
  </si>
  <si>
    <t>Dimensión Técnica</t>
  </si>
  <si>
    <t>17-08-2026  1.5 H</t>
  </si>
  <si>
    <t>Se redactó la sección de dimensión técnica describiendo tecnologías, arquitectura y base de datos utilizadas. Entregable: descripción de dimensión técnica. Criterio de aceptación: tecnologías, arquitectura, base de datos y decisiones técnicas justificadas; evidencia: sección integrada al informe.</t>
  </si>
  <si>
    <t>10-08-2026  0.5 H
17-08-2026  0.5 H
24-08-2026  0.5 H
31-08-2026  0.5 H</t>
  </si>
  <si>
    <t>Se realizaron y documentaron las reuniones diarias Scrum del sprint, registrando avances, responsables y acuerdos de cada semana. Entregable: registros de seguimiento diario. Criterio de aceptación: avances, responsables, horas y acuerdos documentados; evidencia: bitácora actualizada para control del sprint.</t>
  </si>
  <si>
    <t>10-08-2026  0.5 H
24-08-2026  0.5 H
07-09-2026  0.5 H</t>
  </si>
  <si>
    <t>Se actualizó la carta Gantt del sprint reflejando tareas, responsables, fechas y porcentaje de avance a medida que evolucionó el proyecto. Entregable: cronograma del sprint. Criterio de aceptación: tareas, responsables, fechas, estados y avance visibles; evidencia: carta Gantt separada y coherente con el seguimiento.</t>
  </si>
  <si>
    <t>18-08-2026  2 H
19-08-2026  2 H
20-08-2026  2 H</t>
  </si>
  <si>
    <t>Se implementaron las vistas y controladores del módulo público del sitio (Laravel/Blade). Entregable: código en GitHub con la página web implementada, incluido el video de demostración.</t>
  </si>
  <si>
    <t>Se desarrollaron los modelos Eloquent y las migraciones de la base de datos. Entregable: código en GitHub con la página web implementada, incluido el video de demostración.</t>
  </si>
  <si>
    <t>Correcciones puntuales Informe incremento 2</t>
  </si>
  <si>
    <t>24-08-2026  1.5 H
25-08-2026  1 H</t>
  </si>
  <si>
    <t>Se revisaron y corrigieron observaciones puntuales del Informe del Incremento 2 (redacción, formato y consistencia de contenidos). Entregable: informe con correcciones puntuales aplicadas. Criterio de aceptación: observaciones resueltas y contenido coherente con las secciones previas; evidencia: informe actualizado con cambios trazables.</t>
  </si>
  <si>
    <t>Requerimientos Informe</t>
  </si>
  <si>
    <t>24-08-2026  1 H
25-08-2026  1 H</t>
  </si>
  <si>
    <t>Se redactó y ordenó la sección de requerimientos funcionales y no funcionales del informe. Entregable: sección de requerimientos del informe. Criterio de aceptación: requerimientos clasificados, numerados y trazables con los casos de uso; evidencia: sección integrada al informe.</t>
  </si>
  <si>
    <t>Casos de uso</t>
  </si>
  <si>
    <t>26-08-2026  1.5 H
27-08-2026  1 H</t>
  </si>
  <si>
    <t>Se documentaron y describieron los casos de uso del sistema (flujo principal, alternativo y precondiciones). Entregable: sección de casos de uso del informe. Criterio de aceptación: casos de uso completos, numerados y alineados con los requerimientos; evidencia: sección integrada al informe.</t>
  </si>
  <si>
    <t>Corrección Requerimientos</t>
  </si>
  <si>
    <t>28-08-2026  2 H</t>
  </si>
  <si>
    <t>Se revisó en equipo la sección de requerimientos para corregir duplicidades y ajustar la trazabilidad con los casos de uso. Entregable: sección de requerimientos corregida. Criterio de aceptación: sin duplicidades, numeración consistente y trazabilidad validada; evidencia: sección revisada por el equipo completo.</t>
  </si>
  <si>
    <t>Diagrama de secuencia informe</t>
  </si>
  <si>
    <t>28-08-2026  1 H
31-08-2026  1 H</t>
  </si>
  <si>
    <t>Se incorporó y ajustó el diagrama de secuencia dentro del informe, verificando la correspondencia entre el diagrama y la descripción textual del caso de uso. Entregable: diagrama de secuencia incorporado al informe. Criterio de aceptación: diagrama legible, consistente con el caso de uso y correctamente referenciado; evidencia: sección del informe actualizada.</t>
  </si>
  <si>
    <t>PPT</t>
  </si>
  <si>
    <t>07-09-2026  1.5 H
08-09-2026  1 H</t>
  </si>
  <si>
    <t>Se elaboró la presentación PowerPoint de cierre del Incremento 2, resumiendo objetivos, avances y evidencias del sprint. Entregable: presentación PPT del incremento. Criterio de aceptación: contenido resumido, alineado con el informe y con diseño homogéneo; evidencia: archivo PPT final revisado.</t>
  </si>
  <si>
    <t>Casos de prueba informe</t>
  </si>
  <si>
    <t>01-09-2026  1.5 H
02-09-2026  1 H</t>
  </si>
  <si>
    <t>Se diseñaron y documentaron los casos de prueba funcionales del sistema (entradas, pasos y resultados esperados). Entregable: sección de casos de prueba del informe. Criterio de aceptación: casos de prueba trazables con los requerimientos y con resultados esperados definidos; evidencia: sección integrada al informe.</t>
  </si>
  <si>
    <t>Árbol de navegación informe</t>
  </si>
  <si>
    <t>01-09-2026  1 H
02-09-2026  1 H</t>
  </si>
  <si>
    <t>Se construyó el árbol de navegación del sitio web público, representando la jerarquía de páginas y accesos. Entregable: árbol de navegación incorporado al informe. Criterio de aceptación: jerarquía de páginas completa y coherente con la navegación real del sitio; evidencia: diagrama integrado al informe.</t>
  </si>
  <si>
    <t>Revisión y correción de trazabilidad de informes</t>
  </si>
  <si>
    <t>03-09-2026  1 H
04-09-2026  1 H</t>
  </si>
  <si>
    <t>Se revisó la trazabilidad entre requerimientos, casos de uso y casos de prueba del informe, corrigiendo referencias cruzadas incompletas. Entregable: matriz de trazabilidad revisada. Criterio de aceptación: referencias cruzadas completas y sin inconsistencias; evidencia: informe actualizado con trazabilidad validada.</t>
  </si>
  <si>
    <t>Se apoyó la revisión de trazabilidad verificando que cada caso de uso contara con sus casos de prueba asociados. Entregable: matriz de trazabilidad revisada. Criterio de aceptación: cobertura completa entre casos de uso y casos de prueba; evidencia: informe actualizado con trazabilidad validada.</t>
  </si>
  <si>
    <t>Revisión y correción de página web</t>
  </si>
  <si>
    <t>04-09-2026  1.5 H
07-09-2026  1 H</t>
  </si>
  <si>
    <t>Se revisaron y corrigieron errores visuales y de funcionamiento en el sitio web (enlaces, formularios y responsividad). Entregable: sitio web corregido y verificado. Criterio de aceptación: navegación, formularios y visualización funcionando correctamente en distintos dispositivos; evidencia: pruebas manuales registradas y video de verificación.</t>
  </si>
  <si>
    <t>04-09-2026  1 H
07-09-2026  1 H</t>
  </si>
  <si>
    <t>Se verificó el contenido publicado en el sitio web (textos, imágenes y certificaciones) contrastándolo con el informe. Entregable: contenido del sitio web verificado. Criterio de aceptación: contenido correcto, actualizado y sin errores de redacción; evidencia: revisión final registrada.</t>
  </si>
  <si>
    <t>Matriz RF vs CUS</t>
  </si>
  <si>
    <t>07-09-2026  1 H
08-09-2026  1 H</t>
  </si>
  <si>
    <t>Se elaboró la matriz de trazabilidad entre requerimientos funcionales y casos de uso del sistema. Entregable: matriz RF vs CUS. Criterio de aceptación: todos los requerimientos funcionales asociados a al menos un caso de uso, sin duplicidades; evidencia: matriz incorporada al informe.</t>
  </si>
  <si>
    <t>Organización general trabajo</t>
  </si>
  <si>
    <t>09-09-2026  1 H
10-09-2026  1 H</t>
  </si>
  <si>
    <t>Se coordinó la organización final del equipo, consolidando entregables, asignando revisiones cruzadas y verificando el cumplimiento del cronograma antes de la entrega del Incremento 2. Entregable: cierre organizativo del sprint. Criterio de aceptación: todos los entregables consolidados, revisados y entregados dentro del plazo; evidencia: checklist de cierre y carta Gantt final actualizada.</t>
  </si>
  <si>
    <t>Seguimiento Burn-Up / Burn-Down — Incremento 2</t>
  </si>
  <si>
    <t>Fuente: hoja "Seguimiento_Sprint" (columnas Estimar HH y Registro Diario en Horas). HH Estimada diaria = Estimar HH de cada tarea repartido en partes iguales entre sus días de registro.</t>
  </si>
  <si>
    <t>Día</t>
  </si>
  <si>
    <t>Fecha</t>
  </si>
  <si>
    <t>HH Estimada (día)</t>
  </si>
  <si>
    <t>HH Efectiva (día)</t>
  </si>
  <si>
    <t>HH Estimada (acum.)</t>
  </si>
  <si>
    <t>HH Efectiva (acum.)</t>
  </si>
  <si>
    <t>Remanente Estimada</t>
  </si>
  <si>
    <t>Remanente Efectiva</t>
  </si>
  <si>
    <t>Total Estimar HH (alcance):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</si>
  <si>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</si>
  <si>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</si>
  <si>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</si>
  <si>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</si>
  <si>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</si>
  <si>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</si>
  <si>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</si>
  <si>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</si>
  <si>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</si>
  <si>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</si>
  <si>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</si>
  <si>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</si>
  <si>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</si>
  <si>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</si>
  <si>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</si>
  <si>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</si>
  <si>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</si>
  <si>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</si>
  <si>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</si>
  <si>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</si>
  <si>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</si>
  <si>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</si>
  <si>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</si>
  <si>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</si>
  <si>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</si>
  <si>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</si>
  <si>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</si>
  <si>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</si>
  <si>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</si>
  <si>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</si>
  <si>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</si>
  <si>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</si>
  <si>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Burn-Up / Burn-Down Acumulado — Incremento 1 + Incremento 2</t>
  </si>
  <si>
    <t>Combina, en una sola línea de tiempo (Día Global), las 17 jornadas del Incremento 1 seguidas de las 32 jornadas del Incremento 2, sin reiniciar el acumulado entre sprints. Días 1-17: HH Estimada/Efectiva provienen de "Seguimiento_Sprint_Incremento_1.xlsx" (archivo no incluido en este libro; se ingresan como dato fijo en celdas azules, calculado con el mismo criterio: Estimar HH repartido en partes iguales entre días de registro). Días 18-49: enlazados por fórmula a la hoja "Burn_Up_Down" (Incremento 2) de este mismo libro.</t>
  </si>
  <si>
    <t>Sprint</t>
  </si>
  <si>
    <t>Día (sprint)</t>
  </si>
  <si>
    <t>Día Global</t>
  </si>
  <si>
    <t>Total Estimar HH Incremento 1 (fuente: Seguimiento_Sprint_Incremento_1.xlsx):</t>
  </si>
  <si>
    <t>2026-05-09</t>
  </si>
  <si>
    <t>Total Estimar HH Incremento 2 (de hoja Burn_Up_Down de este libro):</t>
  </si>
  <si>
    <t>2026-05-10</t>
  </si>
  <si>
    <t>Total Estimar HH Global (I1+I2):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</si>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</sst>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"/>
  </numFmts>
  <fonts count="12" x14ac:knownFonts="1">
    <font>
      <sz val="11"/>
      <color theme="1"/>
      <name val="Calibri"/>
      <charset val="1"/>
    </font>
    <font>
      <b/>
      <sz val="18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4"/>
      <color rgb="FF1F4E78"/>
      <name val="Arial"/>
      <family val="2"/>
      <charset val="1"/>
    </font>
    <font>
      <sz val="11"/>
      <color theme="1"/>
      <name val="Calibri"/>
      <family val="2"/>
      <charset val="1"/>
    </font>
    <font>
      <i/>
      <sz val="9"/>
      <color rgb="FF595959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/>
      <sz val="11"/>
      <color rgb="FF0000FF"/>
      <name val="Arial"/>
      <family val="2"/>
      <charset val="1"/>
    </font>
    <font>
      <sz val="10"/>
      <color rgb="FF0000FF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D966"/>
        <bgColor rgb="FFFFFF99"/>
      </patternFill>
    </fill>
    <fill>
      <patternFill patternType="solid">
        <fgColor rgb="FFA9D08E"/>
        <bgColor rgb="FFBFBFBF"/>
      </patternFill>
    </fill>
    <fill>
      <patternFill patternType="solid">
        <fgColor rgb="FF9BC2E6"/>
        <bgColor rgb="FFB7B7B7"/>
      </patternFill>
    </fill>
    <fill>
      <patternFill patternType="solid">
        <fgColor rgb="FFCCC0D9"/>
        <bgColor rgb="FFBFBFBF"/>
      </patternFill>
    </fill>
    <fill>
      <patternFill patternType="solid">
        <fgColor rgb="FFDAEEF3"/>
        <bgColor rgb="FFD9D9D9"/>
      </patternFill>
    </fill>
    <fill>
      <patternFill patternType="solid">
        <fgColor rgb="FFD6E3BC"/>
        <bgColor rgb="FFD9D9D9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0" xfId="0" applyFont="1"/>
    <xf numFmtId="0" fontId="4" fillId="0" borderId="0" xfId="0" applyFont="1"/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0" borderId="0" xfId="0" applyFont="1"/>
    <xf numFmtId="0" fontId="7" fillId="9" borderId="2" xfId="0" applyFont="1" applyFill="1" applyBorder="1" applyAlignment="1">
      <alignment horizontal="center" vertical="center" wrapText="1"/>
    </xf>
    <xf numFmtId="0" fontId="8" fillId="0" borderId="0" xfId="0" applyFont="1"/>
    <xf numFmtId="165" fontId="8" fillId="0" borderId="0" xfId="0" applyNumberFormat="1" applyFont="1"/>
    <xf numFmtId="0" fontId="9" fillId="0" borderId="2" xfId="0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65" fontId="10" fillId="0" borderId="0" xfId="0" applyNumberFormat="1" applyFont="1"/>
    <xf numFmtId="165" fontId="1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AEEF3"/>
      <rgbColor rgb="FF660066"/>
      <rgbColor rgb="FFFF8080"/>
      <rgbColor rgb="FF1F77B4"/>
      <rgbColor rgb="FFCCC0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D6E3BC"/>
      <rgbColor rgb="FFFFFF99"/>
      <rgbColor rgb="FF9BC2E6"/>
      <rgbColor rgb="FFFF99CC"/>
      <rgbColor rgb="FFCC99FF"/>
      <rgbColor rgb="FFFFD966"/>
      <rgbColor rgb="FF3366FF"/>
      <rgbColor rgb="FF33CCCC"/>
      <rgbColor rgb="FFA9D08E"/>
      <rgbColor rgb="FFFFCC00"/>
      <rgbColor rgb="FFFF9900"/>
      <rgbColor rgb="FFFF6600"/>
      <rgbColor rgb="FF595959"/>
      <rgbColor rgb="FFB7B7B7"/>
      <rgbColor rgb="FF003366"/>
      <rgbColor rgb="FF339966"/>
      <rgbColor rgb="FF003300"/>
      <rgbColor rgb="FF333300"/>
      <rgbColor rgb="FFD62728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L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Gráfica Burn-Up — Incremento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HH Estimada</c:v>
          </c:tx>
          <c:spPr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Burn_Up_Down!$A$5:$A$36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cat>
          <c:val>
            <c:numRef>
              <c:f>Burn_Up_Down!$E$5:$E$36</c:f>
              <c:numCache>
                <c:formatCode>0.0</c:formatCode>
                <c:ptCount val="32"/>
                <c:pt idx="0">
                  <c:v>4.4166999999999996</c:v>
                </c:pt>
                <c:pt idx="1">
                  <c:v>5.4166999999999996</c:v>
                </c:pt>
                <c:pt idx="2">
                  <c:v>8.0833999999999993</c:v>
                </c:pt>
                <c:pt idx="3">
                  <c:v>12.083399999999999</c:v>
                </c:pt>
                <c:pt idx="4">
                  <c:v>19.7501</c:v>
                </c:pt>
                <c:pt idx="5">
                  <c:v>19.7501</c:v>
                </c:pt>
                <c:pt idx="6">
                  <c:v>19.7501</c:v>
                </c:pt>
                <c:pt idx="7">
                  <c:v>23.5001</c:v>
                </c:pt>
                <c:pt idx="8">
                  <c:v>30.166799999999999</c:v>
                </c:pt>
                <c:pt idx="9">
                  <c:v>36.833500000000001</c:v>
                </c:pt>
                <c:pt idx="10">
                  <c:v>43.5002</c:v>
                </c:pt>
                <c:pt idx="11">
                  <c:v>43.5002</c:v>
                </c:pt>
                <c:pt idx="12">
                  <c:v>43.5002</c:v>
                </c:pt>
                <c:pt idx="13">
                  <c:v>43.5002</c:v>
                </c:pt>
                <c:pt idx="14">
                  <c:v>48.2502</c:v>
                </c:pt>
                <c:pt idx="15">
                  <c:v>51.2502</c:v>
                </c:pt>
                <c:pt idx="16">
                  <c:v>52.7502</c:v>
                </c:pt>
                <c:pt idx="17">
                  <c:v>54.2502</c:v>
                </c:pt>
                <c:pt idx="18">
                  <c:v>58.7502</c:v>
                </c:pt>
                <c:pt idx="19">
                  <c:v>58.7502</c:v>
                </c:pt>
                <c:pt idx="20">
                  <c:v>58.7502</c:v>
                </c:pt>
                <c:pt idx="21">
                  <c:v>61.0002</c:v>
                </c:pt>
                <c:pt idx="22">
                  <c:v>64.000200000000007</c:v>
                </c:pt>
                <c:pt idx="23">
                  <c:v>67.000200000000007</c:v>
                </c:pt>
                <c:pt idx="24">
                  <c:v>70.000200000000007</c:v>
                </c:pt>
                <c:pt idx="25">
                  <c:v>76.000200000000007</c:v>
                </c:pt>
                <c:pt idx="26">
                  <c:v>76.000200000000007</c:v>
                </c:pt>
                <c:pt idx="27">
                  <c:v>76.000200000000007</c:v>
                </c:pt>
                <c:pt idx="28">
                  <c:v>83.000200000000007</c:v>
                </c:pt>
                <c:pt idx="29">
                  <c:v>86.000200000000007</c:v>
                </c:pt>
                <c:pt idx="30">
                  <c:v>87.500200000000007</c:v>
                </c:pt>
                <c:pt idx="31">
                  <c:v>89.000200000000007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CC-41C0-8D94-5E366C6DBE1C}"/>
            </c:ext>
          </c:extLst>
        </c:ser>
        <c:ser>
          <c:idx val="1"/>
          <c:order val="1"/>
          <c:tx>
            <c:v>HH Efectiva</c:v>
          </c:tx>
          <c:spPr>
            <a:ln w="1908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Burn_Up_Down!$A$5:$A$36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cat>
          <c:val>
            <c:numRef>
              <c:f>Burn_Up_Down!$F$5:$F$36</c:f>
              <c:numCache>
                <c:formatCode>0.0</c:formatCode>
                <c:ptCount val="32"/>
                <c:pt idx="0">
                  <c:v>3.5</c:v>
                </c:pt>
                <c:pt idx="1">
                  <c:v>4.5</c:v>
                </c:pt>
                <c:pt idx="2">
                  <c:v>7</c:v>
                </c:pt>
                <c:pt idx="3">
                  <c:v>10</c:v>
                </c:pt>
                <c:pt idx="4">
                  <c:v>14.5</c:v>
                </c:pt>
                <c:pt idx="5">
                  <c:v>14.5</c:v>
                </c:pt>
                <c:pt idx="6">
                  <c:v>14.5</c:v>
                </c:pt>
                <c:pt idx="7">
                  <c:v>16.5</c:v>
                </c:pt>
                <c:pt idx="8">
                  <c:v>20.5</c:v>
                </c:pt>
                <c:pt idx="9">
                  <c:v>24.5</c:v>
                </c:pt>
                <c:pt idx="10">
                  <c:v>28.5</c:v>
                </c:pt>
                <c:pt idx="11">
                  <c:v>28.5</c:v>
                </c:pt>
                <c:pt idx="12">
                  <c:v>28.5</c:v>
                </c:pt>
                <c:pt idx="13">
                  <c:v>28.5</c:v>
                </c:pt>
                <c:pt idx="14">
                  <c:v>32</c:v>
                </c:pt>
                <c:pt idx="15">
                  <c:v>34</c:v>
                </c:pt>
                <c:pt idx="16">
                  <c:v>35.5</c:v>
                </c:pt>
                <c:pt idx="17">
                  <c:v>36.5</c:v>
                </c:pt>
                <c:pt idx="18">
                  <c:v>39.5</c:v>
                </c:pt>
                <c:pt idx="19">
                  <c:v>39.5</c:v>
                </c:pt>
                <c:pt idx="20">
                  <c:v>39.5</c:v>
                </c:pt>
                <c:pt idx="21">
                  <c:v>41</c:v>
                </c:pt>
                <c:pt idx="22">
                  <c:v>43.5</c:v>
                </c:pt>
                <c:pt idx="23">
                  <c:v>45.5</c:v>
                </c:pt>
                <c:pt idx="24">
                  <c:v>47.5</c:v>
                </c:pt>
                <c:pt idx="25">
                  <c:v>52</c:v>
                </c:pt>
                <c:pt idx="26">
                  <c:v>52</c:v>
                </c:pt>
                <c:pt idx="27">
                  <c:v>52</c:v>
                </c:pt>
                <c:pt idx="28">
                  <c:v>57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CC-41C0-8D94-5E366C6DB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31225"/>
        <c:axId val="55515694"/>
      </c:lineChart>
      <c:catAx>
        <c:axId val="44312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55515694"/>
        <c:crosses val="autoZero"/>
        <c:auto val="1"/>
        <c:lblAlgn val="ctr"/>
        <c:lblOffset val="100"/>
        <c:noMultiLvlLbl val="0"/>
      </c:catAx>
      <c:valAx>
        <c:axId val="5551569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 (HH)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44312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L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Gráfica Burn-Down — Incremento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HH Estimada</c:v>
          </c:tx>
          <c:spPr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Burn_Up_Down!$A$5:$A$36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cat>
          <c:val>
            <c:numRef>
              <c:f>Burn_Up_Down!$G$5:$G$36</c:f>
              <c:numCache>
                <c:formatCode>0.0</c:formatCode>
                <c:ptCount val="32"/>
                <c:pt idx="0">
                  <c:v>84.583299999999994</c:v>
                </c:pt>
                <c:pt idx="1">
                  <c:v>83.583299999999994</c:v>
                </c:pt>
                <c:pt idx="2">
                  <c:v>80.916600000000003</c:v>
                </c:pt>
                <c:pt idx="3">
                  <c:v>76.916600000000003</c:v>
                </c:pt>
                <c:pt idx="4">
                  <c:v>69.249899999999997</c:v>
                </c:pt>
                <c:pt idx="5">
                  <c:v>69.249899999999997</c:v>
                </c:pt>
                <c:pt idx="6">
                  <c:v>69.249899999999997</c:v>
                </c:pt>
                <c:pt idx="7">
                  <c:v>65.499899999999997</c:v>
                </c:pt>
                <c:pt idx="8">
                  <c:v>58.833200000000005</c:v>
                </c:pt>
                <c:pt idx="9">
                  <c:v>52.166499999999999</c:v>
                </c:pt>
                <c:pt idx="10">
                  <c:v>45.4998</c:v>
                </c:pt>
                <c:pt idx="11">
                  <c:v>45.4998</c:v>
                </c:pt>
                <c:pt idx="12">
                  <c:v>45.4998</c:v>
                </c:pt>
                <c:pt idx="13">
                  <c:v>45.4998</c:v>
                </c:pt>
                <c:pt idx="14">
                  <c:v>40.7498</c:v>
                </c:pt>
                <c:pt idx="15">
                  <c:v>37.7498</c:v>
                </c:pt>
                <c:pt idx="16">
                  <c:v>36.2498</c:v>
                </c:pt>
                <c:pt idx="17">
                  <c:v>34.7498</c:v>
                </c:pt>
                <c:pt idx="18">
                  <c:v>30.2498</c:v>
                </c:pt>
                <c:pt idx="19">
                  <c:v>30.2498</c:v>
                </c:pt>
                <c:pt idx="20">
                  <c:v>30.2498</c:v>
                </c:pt>
                <c:pt idx="21">
                  <c:v>27.9998</c:v>
                </c:pt>
                <c:pt idx="22">
                  <c:v>24.999799999999993</c:v>
                </c:pt>
                <c:pt idx="23">
                  <c:v>21.999799999999993</c:v>
                </c:pt>
                <c:pt idx="24">
                  <c:v>18.999799999999993</c:v>
                </c:pt>
                <c:pt idx="25">
                  <c:v>12.999799999999993</c:v>
                </c:pt>
                <c:pt idx="26">
                  <c:v>12.999799999999993</c:v>
                </c:pt>
                <c:pt idx="27">
                  <c:v>12.999799999999993</c:v>
                </c:pt>
                <c:pt idx="28">
                  <c:v>5.9997999999999934</c:v>
                </c:pt>
                <c:pt idx="29">
                  <c:v>2.9997999999999934</c:v>
                </c:pt>
                <c:pt idx="30">
                  <c:v>1.4997999999999934</c:v>
                </c:pt>
                <c:pt idx="31">
                  <c:v>-2.0000000000663931E-4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EE-4323-A616-12A71311D11A}"/>
            </c:ext>
          </c:extLst>
        </c:ser>
        <c:ser>
          <c:idx val="1"/>
          <c:order val="1"/>
          <c:tx>
            <c:v>HH Efectiva</c:v>
          </c:tx>
          <c:spPr>
            <a:ln w="1908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Burn_Up_Down!$A$5:$A$36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cat>
          <c:val>
            <c:numRef>
              <c:f>Burn_Up_Down!$H$5:$H$36</c:f>
              <c:numCache>
                <c:formatCode>0.0</c:formatCode>
                <c:ptCount val="32"/>
                <c:pt idx="0">
                  <c:v>85.5</c:v>
                </c:pt>
                <c:pt idx="1">
                  <c:v>84.5</c:v>
                </c:pt>
                <c:pt idx="2">
                  <c:v>82</c:v>
                </c:pt>
                <c:pt idx="3">
                  <c:v>79</c:v>
                </c:pt>
                <c:pt idx="4">
                  <c:v>74.5</c:v>
                </c:pt>
                <c:pt idx="5">
                  <c:v>74.5</c:v>
                </c:pt>
                <c:pt idx="6">
                  <c:v>74.5</c:v>
                </c:pt>
                <c:pt idx="7">
                  <c:v>72.5</c:v>
                </c:pt>
                <c:pt idx="8">
                  <c:v>68.5</c:v>
                </c:pt>
                <c:pt idx="9">
                  <c:v>64.5</c:v>
                </c:pt>
                <c:pt idx="10">
                  <c:v>60.5</c:v>
                </c:pt>
                <c:pt idx="11">
                  <c:v>60.5</c:v>
                </c:pt>
                <c:pt idx="12">
                  <c:v>60.5</c:v>
                </c:pt>
                <c:pt idx="13">
                  <c:v>60.5</c:v>
                </c:pt>
                <c:pt idx="14">
                  <c:v>57</c:v>
                </c:pt>
                <c:pt idx="15">
                  <c:v>55</c:v>
                </c:pt>
                <c:pt idx="16">
                  <c:v>53.5</c:v>
                </c:pt>
                <c:pt idx="17">
                  <c:v>52.5</c:v>
                </c:pt>
                <c:pt idx="18">
                  <c:v>49.5</c:v>
                </c:pt>
                <c:pt idx="19">
                  <c:v>49.5</c:v>
                </c:pt>
                <c:pt idx="20">
                  <c:v>49.5</c:v>
                </c:pt>
                <c:pt idx="21">
                  <c:v>48</c:v>
                </c:pt>
                <c:pt idx="22">
                  <c:v>45.5</c:v>
                </c:pt>
                <c:pt idx="23">
                  <c:v>43.5</c:v>
                </c:pt>
                <c:pt idx="24">
                  <c:v>41.5</c:v>
                </c:pt>
                <c:pt idx="25">
                  <c:v>37</c:v>
                </c:pt>
                <c:pt idx="26">
                  <c:v>37</c:v>
                </c:pt>
                <c:pt idx="27">
                  <c:v>37</c:v>
                </c:pt>
                <c:pt idx="28">
                  <c:v>32</c:v>
                </c:pt>
                <c:pt idx="29">
                  <c:v>30</c:v>
                </c:pt>
                <c:pt idx="30">
                  <c:v>29</c:v>
                </c:pt>
                <c:pt idx="3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EE-4323-A616-12A71311D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5009331"/>
        <c:axId val="13004124"/>
      </c:lineChart>
      <c:catAx>
        <c:axId val="950093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13004124"/>
        <c:crosses val="autoZero"/>
        <c:auto val="1"/>
        <c:lblAlgn val="ctr"/>
        <c:lblOffset val="100"/>
        <c:noMultiLvlLbl val="0"/>
      </c:catAx>
      <c:valAx>
        <c:axId val="1300412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 (HH)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950093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L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Gráfica Burn-Up Acumulado — Incremento 1 + Incremento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HH Estimada</c:v>
          </c:tx>
          <c:spPr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Burn_Global_I1_I2!$C$5:$C$53</c:f>
              <c:numCache>
                <c:formatCode>General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cat>
          <c:val>
            <c:numRef>
              <c:f>Burn_Global_I1_I2!$G$5:$G$53</c:f>
              <c:numCache>
                <c:formatCode>0.0</c:formatCode>
                <c:ptCount val="49"/>
                <c:pt idx="0">
                  <c:v>3</c:v>
                </c:pt>
                <c:pt idx="1">
                  <c:v>8.6666999999999987</c:v>
                </c:pt>
                <c:pt idx="2">
                  <c:v>8.6666999999999987</c:v>
                </c:pt>
                <c:pt idx="3">
                  <c:v>11.666699999999999</c:v>
                </c:pt>
                <c:pt idx="4">
                  <c:v>13.666699999999999</c:v>
                </c:pt>
                <c:pt idx="5">
                  <c:v>13.666699999999999</c:v>
                </c:pt>
                <c:pt idx="6">
                  <c:v>18.833399999999997</c:v>
                </c:pt>
                <c:pt idx="7">
                  <c:v>20.833399999999997</c:v>
                </c:pt>
                <c:pt idx="8">
                  <c:v>26.833399999999997</c:v>
                </c:pt>
                <c:pt idx="9">
                  <c:v>26.833399999999997</c:v>
                </c:pt>
                <c:pt idx="10">
                  <c:v>30.833399999999997</c:v>
                </c:pt>
                <c:pt idx="11">
                  <c:v>33.333399999999997</c:v>
                </c:pt>
                <c:pt idx="12">
                  <c:v>38.333399999999997</c:v>
                </c:pt>
                <c:pt idx="13">
                  <c:v>42.000099999999996</c:v>
                </c:pt>
                <c:pt idx="14">
                  <c:v>52.166799999999995</c:v>
                </c:pt>
                <c:pt idx="15">
                  <c:v>58.833499999999994</c:v>
                </c:pt>
                <c:pt idx="16">
                  <c:v>67.000199999999992</c:v>
                </c:pt>
                <c:pt idx="17">
                  <c:v>71.416899999999998</c:v>
                </c:pt>
                <c:pt idx="18">
                  <c:v>72.416899999999998</c:v>
                </c:pt>
                <c:pt idx="19">
                  <c:v>75.083600000000004</c:v>
                </c:pt>
                <c:pt idx="20">
                  <c:v>79.083600000000004</c:v>
                </c:pt>
                <c:pt idx="21">
                  <c:v>86.75030000000001</c:v>
                </c:pt>
                <c:pt idx="22">
                  <c:v>86.75030000000001</c:v>
                </c:pt>
                <c:pt idx="23">
                  <c:v>86.75030000000001</c:v>
                </c:pt>
                <c:pt idx="24">
                  <c:v>90.50030000000001</c:v>
                </c:pt>
                <c:pt idx="25">
                  <c:v>97.167000000000016</c:v>
                </c:pt>
                <c:pt idx="26">
                  <c:v>103.83370000000002</c:v>
                </c:pt>
                <c:pt idx="27">
                  <c:v>110.50040000000003</c:v>
                </c:pt>
                <c:pt idx="28">
                  <c:v>110.50040000000003</c:v>
                </c:pt>
                <c:pt idx="29">
                  <c:v>110.50040000000003</c:v>
                </c:pt>
                <c:pt idx="30">
                  <c:v>110.50040000000003</c:v>
                </c:pt>
                <c:pt idx="31">
                  <c:v>115.25040000000003</c:v>
                </c:pt>
                <c:pt idx="32">
                  <c:v>118.25040000000003</c:v>
                </c:pt>
                <c:pt idx="33">
                  <c:v>119.75040000000003</c:v>
                </c:pt>
                <c:pt idx="34">
                  <c:v>121.25040000000003</c:v>
                </c:pt>
                <c:pt idx="35">
                  <c:v>125.75040000000003</c:v>
                </c:pt>
                <c:pt idx="36">
                  <c:v>125.75040000000003</c:v>
                </c:pt>
                <c:pt idx="37">
                  <c:v>125.75040000000003</c:v>
                </c:pt>
                <c:pt idx="38">
                  <c:v>128.00040000000001</c:v>
                </c:pt>
                <c:pt idx="39">
                  <c:v>131.00040000000001</c:v>
                </c:pt>
                <c:pt idx="40">
                  <c:v>134.00040000000001</c:v>
                </c:pt>
                <c:pt idx="41">
                  <c:v>137.00040000000001</c:v>
                </c:pt>
                <c:pt idx="42">
                  <c:v>143.00040000000001</c:v>
                </c:pt>
                <c:pt idx="43">
                  <c:v>143.00040000000001</c:v>
                </c:pt>
                <c:pt idx="44">
                  <c:v>143.00040000000001</c:v>
                </c:pt>
                <c:pt idx="45">
                  <c:v>150.00040000000001</c:v>
                </c:pt>
                <c:pt idx="46">
                  <c:v>153.00040000000001</c:v>
                </c:pt>
                <c:pt idx="47">
                  <c:v>154.50040000000001</c:v>
                </c:pt>
                <c:pt idx="48">
                  <c:v>156.00040000000001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28-4C5A-91E1-80A8C609B271}"/>
            </c:ext>
          </c:extLst>
        </c:ser>
        <c:ser>
          <c:idx val="1"/>
          <c:order val="1"/>
          <c:tx>
            <c:v>HH Efectiva</c:v>
          </c:tx>
          <c:spPr>
            <a:ln w="1908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Burn_Global_I1_I2!$C$5:$C$53</c:f>
              <c:numCache>
                <c:formatCode>General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cat>
          <c:val>
            <c:numRef>
              <c:f>Burn_Global_I1_I2!$H$5:$H$53</c:f>
              <c:numCache>
                <c:formatCode>0.0</c:formatCode>
                <c:ptCount val="49"/>
                <c:pt idx="0">
                  <c:v>2</c:v>
                </c:pt>
                <c:pt idx="1">
                  <c:v>13</c:v>
                </c:pt>
                <c:pt idx="2">
                  <c:v>13</c:v>
                </c:pt>
                <c:pt idx="3">
                  <c:v>15</c:v>
                </c:pt>
                <c:pt idx="4">
                  <c:v>17</c:v>
                </c:pt>
                <c:pt idx="5">
                  <c:v>17</c:v>
                </c:pt>
                <c:pt idx="6">
                  <c:v>27</c:v>
                </c:pt>
                <c:pt idx="7">
                  <c:v>28</c:v>
                </c:pt>
                <c:pt idx="8">
                  <c:v>33</c:v>
                </c:pt>
                <c:pt idx="9">
                  <c:v>33</c:v>
                </c:pt>
                <c:pt idx="10">
                  <c:v>35</c:v>
                </c:pt>
                <c:pt idx="11">
                  <c:v>37</c:v>
                </c:pt>
                <c:pt idx="12">
                  <c:v>39</c:v>
                </c:pt>
                <c:pt idx="13">
                  <c:v>42</c:v>
                </c:pt>
                <c:pt idx="14">
                  <c:v>49</c:v>
                </c:pt>
                <c:pt idx="15">
                  <c:v>54</c:v>
                </c:pt>
                <c:pt idx="16">
                  <c:v>62</c:v>
                </c:pt>
                <c:pt idx="17">
                  <c:v>65.5</c:v>
                </c:pt>
                <c:pt idx="18">
                  <c:v>66.5</c:v>
                </c:pt>
                <c:pt idx="19">
                  <c:v>69</c:v>
                </c:pt>
                <c:pt idx="20">
                  <c:v>72</c:v>
                </c:pt>
                <c:pt idx="21">
                  <c:v>76.5</c:v>
                </c:pt>
                <c:pt idx="22">
                  <c:v>76.5</c:v>
                </c:pt>
                <c:pt idx="23">
                  <c:v>76.5</c:v>
                </c:pt>
                <c:pt idx="24">
                  <c:v>78.5</c:v>
                </c:pt>
                <c:pt idx="25">
                  <c:v>82.5</c:v>
                </c:pt>
                <c:pt idx="26">
                  <c:v>86.5</c:v>
                </c:pt>
                <c:pt idx="27">
                  <c:v>90.5</c:v>
                </c:pt>
                <c:pt idx="28">
                  <c:v>90.5</c:v>
                </c:pt>
                <c:pt idx="29">
                  <c:v>90.5</c:v>
                </c:pt>
                <c:pt idx="30">
                  <c:v>90.5</c:v>
                </c:pt>
                <c:pt idx="31">
                  <c:v>94</c:v>
                </c:pt>
                <c:pt idx="32">
                  <c:v>96</c:v>
                </c:pt>
                <c:pt idx="33">
                  <c:v>97.5</c:v>
                </c:pt>
                <c:pt idx="34">
                  <c:v>98.5</c:v>
                </c:pt>
                <c:pt idx="35">
                  <c:v>101.5</c:v>
                </c:pt>
                <c:pt idx="36">
                  <c:v>101.5</c:v>
                </c:pt>
                <c:pt idx="37">
                  <c:v>101.5</c:v>
                </c:pt>
                <c:pt idx="38">
                  <c:v>103</c:v>
                </c:pt>
                <c:pt idx="39">
                  <c:v>105.5</c:v>
                </c:pt>
                <c:pt idx="40">
                  <c:v>107.5</c:v>
                </c:pt>
                <c:pt idx="41">
                  <c:v>109.5</c:v>
                </c:pt>
                <c:pt idx="42">
                  <c:v>114</c:v>
                </c:pt>
                <c:pt idx="43">
                  <c:v>114</c:v>
                </c:pt>
                <c:pt idx="44">
                  <c:v>114</c:v>
                </c:pt>
                <c:pt idx="45">
                  <c:v>119</c:v>
                </c:pt>
                <c:pt idx="46">
                  <c:v>121</c:v>
                </c:pt>
                <c:pt idx="47">
                  <c:v>122</c:v>
                </c:pt>
                <c:pt idx="48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28-4C5A-91E1-80A8C609B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254214"/>
        <c:axId val="51879316"/>
      </c:lineChart>
      <c:catAx>
        <c:axId val="922542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Día Global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51879316"/>
        <c:crosses val="autoZero"/>
        <c:auto val="1"/>
        <c:lblAlgn val="ctr"/>
        <c:lblOffset val="100"/>
        <c:noMultiLvlLbl val="0"/>
      </c:catAx>
      <c:valAx>
        <c:axId val="5187931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 (HH)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922542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L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Gráfica Burn-Down Acumulado — Incremento 1 + Incremento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HH Estimada</c:v>
          </c:tx>
          <c:spPr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Burn_Global_I1_I2!$C$5:$C$53</c:f>
              <c:numCache>
                <c:formatCode>General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cat>
          <c:val>
            <c:numRef>
              <c:f>Burn_Global_I1_I2!$I$5:$I$53</c:f>
              <c:numCache>
                <c:formatCode>0.0</c:formatCode>
                <c:ptCount val="49"/>
                <c:pt idx="0">
                  <c:v>153</c:v>
                </c:pt>
                <c:pt idx="1">
                  <c:v>147.33330000000001</c:v>
                </c:pt>
                <c:pt idx="2">
                  <c:v>147.33330000000001</c:v>
                </c:pt>
                <c:pt idx="3">
                  <c:v>144.33330000000001</c:v>
                </c:pt>
                <c:pt idx="4">
                  <c:v>142.33330000000001</c:v>
                </c:pt>
                <c:pt idx="5">
                  <c:v>142.33330000000001</c:v>
                </c:pt>
                <c:pt idx="6">
                  <c:v>137.16660000000002</c:v>
                </c:pt>
                <c:pt idx="7">
                  <c:v>135.16660000000002</c:v>
                </c:pt>
                <c:pt idx="8">
                  <c:v>129.16660000000002</c:v>
                </c:pt>
                <c:pt idx="9">
                  <c:v>129.16660000000002</c:v>
                </c:pt>
                <c:pt idx="10">
                  <c:v>125.1666</c:v>
                </c:pt>
                <c:pt idx="11">
                  <c:v>122.6666</c:v>
                </c:pt>
                <c:pt idx="12">
                  <c:v>117.6666</c:v>
                </c:pt>
                <c:pt idx="13">
                  <c:v>113.9999</c:v>
                </c:pt>
                <c:pt idx="14">
                  <c:v>103.83320000000001</c:v>
                </c:pt>
                <c:pt idx="15">
                  <c:v>97.166500000000013</c:v>
                </c:pt>
                <c:pt idx="16">
                  <c:v>88.999800000000008</c:v>
                </c:pt>
                <c:pt idx="17">
                  <c:v>84.583100000000002</c:v>
                </c:pt>
                <c:pt idx="18">
                  <c:v>83.583100000000002</c:v>
                </c:pt>
                <c:pt idx="19">
                  <c:v>80.916399999999996</c:v>
                </c:pt>
                <c:pt idx="20">
                  <c:v>76.916399999999996</c:v>
                </c:pt>
                <c:pt idx="21">
                  <c:v>69.24969999999999</c:v>
                </c:pt>
                <c:pt idx="22">
                  <c:v>69.24969999999999</c:v>
                </c:pt>
                <c:pt idx="23">
                  <c:v>69.24969999999999</c:v>
                </c:pt>
                <c:pt idx="24">
                  <c:v>65.49969999999999</c:v>
                </c:pt>
                <c:pt idx="25">
                  <c:v>58.832999999999984</c:v>
                </c:pt>
                <c:pt idx="26">
                  <c:v>52.166299999999978</c:v>
                </c:pt>
                <c:pt idx="27">
                  <c:v>45.499599999999973</c:v>
                </c:pt>
                <c:pt idx="28">
                  <c:v>45.499599999999973</c:v>
                </c:pt>
                <c:pt idx="29">
                  <c:v>45.499599999999973</c:v>
                </c:pt>
                <c:pt idx="30">
                  <c:v>45.499599999999973</c:v>
                </c:pt>
                <c:pt idx="31">
                  <c:v>40.749599999999973</c:v>
                </c:pt>
                <c:pt idx="32">
                  <c:v>37.749599999999973</c:v>
                </c:pt>
                <c:pt idx="33">
                  <c:v>36.249599999999973</c:v>
                </c:pt>
                <c:pt idx="34">
                  <c:v>34.749599999999973</c:v>
                </c:pt>
                <c:pt idx="35">
                  <c:v>30.249599999999973</c:v>
                </c:pt>
                <c:pt idx="36">
                  <c:v>30.249599999999973</c:v>
                </c:pt>
                <c:pt idx="37">
                  <c:v>30.249599999999973</c:v>
                </c:pt>
                <c:pt idx="38">
                  <c:v>27.999599999999987</c:v>
                </c:pt>
                <c:pt idx="39">
                  <c:v>24.999599999999987</c:v>
                </c:pt>
                <c:pt idx="40">
                  <c:v>21.999599999999987</c:v>
                </c:pt>
                <c:pt idx="41">
                  <c:v>18.999599999999987</c:v>
                </c:pt>
                <c:pt idx="42">
                  <c:v>12.999599999999987</c:v>
                </c:pt>
                <c:pt idx="43">
                  <c:v>12.999599999999987</c:v>
                </c:pt>
                <c:pt idx="44">
                  <c:v>12.999599999999987</c:v>
                </c:pt>
                <c:pt idx="45">
                  <c:v>5.9995999999999867</c:v>
                </c:pt>
                <c:pt idx="46">
                  <c:v>2.9995999999999867</c:v>
                </c:pt>
                <c:pt idx="47">
                  <c:v>1.4995999999999867</c:v>
                </c:pt>
                <c:pt idx="48">
                  <c:v>-4.0000000001327862E-4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7-49B3-8112-E4353184DA1B}"/>
            </c:ext>
          </c:extLst>
        </c:ser>
        <c:ser>
          <c:idx val="1"/>
          <c:order val="1"/>
          <c:tx>
            <c:v>HH Efectiva</c:v>
          </c:tx>
          <c:spPr>
            <a:ln w="1908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Burn_Global_I1_I2!$C$5:$C$53</c:f>
              <c:numCache>
                <c:formatCode>General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cat>
          <c:val>
            <c:numRef>
              <c:f>Burn_Global_I1_I2!$J$5:$J$53</c:f>
              <c:numCache>
                <c:formatCode>0.0</c:formatCode>
                <c:ptCount val="49"/>
                <c:pt idx="0">
                  <c:v>154</c:v>
                </c:pt>
                <c:pt idx="1">
                  <c:v>143</c:v>
                </c:pt>
                <c:pt idx="2">
                  <c:v>143</c:v>
                </c:pt>
                <c:pt idx="3">
                  <c:v>141</c:v>
                </c:pt>
                <c:pt idx="4">
                  <c:v>139</c:v>
                </c:pt>
                <c:pt idx="5">
                  <c:v>139</c:v>
                </c:pt>
                <c:pt idx="6">
                  <c:v>129</c:v>
                </c:pt>
                <c:pt idx="7">
                  <c:v>128</c:v>
                </c:pt>
                <c:pt idx="8">
                  <c:v>123</c:v>
                </c:pt>
                <c:pt idx="9">
                  <c:v>123</c:v>
                </c:pt>
                <c:pt idx="10">
                  <c:v>121</c:v>
                </c:pt>
                <c:pt idx="11">
                  <c:v>119</c:v>
                </c:pt>
                <c:pt idx="12">
                  <c:v>117</c:v>
                </c:pt>
                <c:pt idx="13">
                  <c:v>114</c:v>
                </c:pt>
                <c:pt idx="14">
                  <c:v>107</c:v>
                </c:pt>
                <c:pt idx="15">
                  <c:v>102</c:v>
                </c:pt>
                <c:pt idx="16">
                  <c:v>94</c:v>
                </c:pt>
                <c:pt idx="17">
                  <c:v>90.5</c:v>
                </c:pt>
                <c:pt idx="18">
                  <c:v>89.5</c:v>
                </c:pt>
                <c:pt idx="19">
                  <c:v>87</c:v>
                </c:pt>
                <c:pt idx="20">
                  <c:v>84</c:v>
                </c:pt>
                <c:pt idx="21">
                  <c:v>79.5</c:v>
                </c:pt>
                <c:pt idx="22">
                  <c:v>79.5</c:v>
                </c:pt>
                <c:pt idx="23">
                  <c:v>79.5</c:v>
                </c:pt>
                <c:pt idx="24">
                  <c:v>77.5</c:v>
                </c:pt>
                <c:pt idx="25">
                  <c:v>73.5</c:v>
                </c:pt>
                <c:pt idx="26">
                  <c:v>69.5</c:v>
                </c:pt>
                <c:pt idx="27">
                  <c:v>65.5</c:v>
                </c:pt>
                <c:pt idx="28">
                  <c:v>65.5</c:v>
                </c:pt>
                <c:pt idx="29">
                  <c:v>65.5</c:v>
                </c:pt>
                <c:pt idx="30">
                  <c:v>65.5</c:v>
                </c:pt>
                <c:pt idx="31">
                  <c:v>62</c:v>
                </c:pt>
                <c:pt idx="32">
                  <c:v>60</c:v>
                </c:pt>
                <c:pt idx="33">
                  <c:v>58.5</c:v>
                </c:pt>
                <c:pt idx="34">
                  <c:v>57.5</c:v>
                </c:pt>
                <c:pt idx="35">
                  <c:v>54.5</c:v>
                </c:pt>
                <c:pt idx="36">
                  <c:v>54.5</c:v>
                </c:pt>
                <c:pt idx="37">
                  <c:v>54.5</c:v>
                </c:pt>
                <c:pt idx="38">
                  <c:v>53</c:v>
                </c:pt>
                <c:pt idx="39">
                  <c:v>50.5</c:v>
                </c:pt>
                <c:pt idx="40">
                  <c:v>48.5</c:v>
                </c:pt>
                <c:pt idx="41">
                  <c:v>46.5</c:v>
                </c:pt>
                <c:pt idx="42">
                  <c:v>42</c:v>
                </c:pt>
                <c:pt idx="43">
                  <c:v>42</c:v>
                </c:pt>
                <c:pt idx="44">
                  <c:v>42</c:v>
                </c:pt>
                <c:pt idx="45">
                  <c:v>37</c:v>
                </c:pt>
                <c:pt idx="46">
                  <c:v>35</c:v>
                </c:pt>
                <c:pt idx="47">
                  <c:v>34</c:v>
                </c:pt>
                <c:pt idx="48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A7-49B3-8112-E4353184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9643230"/>
        <c:axId val="17523037"/>
      </c:lineChart>
      <c:catAx>
        <c:axId val="796432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Día Global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17523037"/>
        <c:crosses val="autoZero"/>
        <c:auto val="1"/>
        <c:lblAlgn val="ctr"/>
        <c:lblOffset val="100"/>
        <c:noMultiLvlLbl val="0"/>
      </c:catAx>
      <c:valAx>
        <c:axId val="1752303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 (HH)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796432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9360</xdr:rowOff>
    </xdr:from>
    <xdr:to>
      <xdr:col>6</xdr:col>
      <xdr:colOff>1039680</xdr:colOff>
      <xdr:row>54</xdr:row>
      <xdr:rowOff>9000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37</xdr:row>
      <xdr:rowOff>9360</xdr:rowOff>
    </xdr:from>
    <xdr:to>
      <xdr:col>18</xdr:col>
      <xdr:colOff>153720</xdr:colOff>
      <xdr:row>54</xdr:row>
      <xdr:rowOff>9000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714240</xdr:colOff>
      <xdr:row>54</xdr:row>
      <xdr:rowOff>95400</xdr:rowOff>
    </xdr:from>
    <xdr:to>
      <xdr:col>8</xdr:col>
      <xdr:colOff>306000</xdr:colOff>
      <xdr:row>73</xdr:row>
      <xdr:rowOff>57240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514440</xdr:colOff>
      <xdr:row>54</xdr:row>
      <xdr:rowOff>95400</xdr:rowOff>
    </xdr:from>
    <xdr:to>
      <xdr:col>17</xdr:col>
      <xdr:colOff>286920</xdr:colOff>
      <xdr:row>73</xdr:row>
      <xdr:rowOff>57240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tabSelected="1" zoomScale="87" zoomScaleNormal="87" workbookViewId="0">
      <pane ySplit="3" topLeftCell="A4" activePane="bottomLeft" state="frozen"/>
      <selection pane="bottomLeft" activeCell="A4" sqref="A4"/>
    </sheetView>
  </sheetViews>
  <sheetFormatPr baseColWidth="10" defaultColWidth="14.42578125" defaultRowHeight="15" x14ac:dyDescent="0.25"/>
  <cols>
    <col min="1" max="1" width="14" customWidth="1"/>
    <col min="2" max="2" width="10" customWidth="1"/>
    <col min="3" max="3" width="26" customWidth="1"/>
    <col min="4" max="4" width="40" customWidth="1"/>
    <col min="5" max="5" width="30" customWidth="1"/>
    <col min="6" max="6" width="10" customWidth="1"/>
    <col min="7" max="7" width="24" customWidth="1"/>
    <col min="8" max="9" width="12" customWidth="1"/>
    <col min="10" max="10" width="11" customWidth="1"/>
    <col min="11" max="11" width="26" customWidth="1"/>
    <col min="12" max="12" width="9" customWidth="1"/>
    <col min="13" max="13" width="90" customWidth="1"/>
    <col min="14" max="26" width="9.140625" customWidth="1"/>
  </cols>
  <sheetData>
    <row r="1" spans="1:13" ht="48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30" customHeight="1" x14ac:dyDescent="0.25">
      <c r="A2" s="5" t="s">
        <v>1</v>
      </c>
      <c r="B2" s="5"/>
      <c r="C2" s="5"/>
      <c r="D2" s="5"/>
      <c r="E2" s="5"/>
      <c r="F2" s="5"/>
      <c r="G2" s="7" t="s">
        <v>2</v>
      </c>
      <c r="H2" s="4" t="s">
        <v>3</v>
      </c>
      <c r="I2" s="4"/>
      <c r="J2" s="4"/>
      <c r="K2" s="3" t="s">
        <v>4</v>
      </c>
      <c r="L2" s="3"/>
      <c r="M2" s="3"/>
    </row>
    <row r="3" spans="1:13" ht="31.5" customHeight="1" x14ac:dyDescent="0.25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17</v>
      </c>
    </row>
    <row r="4" spans="1:13" ht="66" customHeight="1" x14ac:dyDescent="0.25">
      <c r="A4" s="9" t="s">
        <v>18</v>
      </c>
      <c r="B4" s="10">
        <v>1</v>
      </c>
      <c r="C4" s="10" t="s">
        <v>19</v>
      </c>
      <c r="D4" s="10" t="s">
        <v>20</v>
      </c>
      <c r="E4" s="10" t="s">
        <v>21</v>
      </c>
      <c r="F4" s="10">
        <v>1</v>
      </c>
      <c r="G4" s="11" t="s">
        <v>22</v>
      </c>
      <c r="H4" s="12">
        <v>46105</v>
      </c>
      <c r="I4" s="12">
        <v>46105</v>
      </c>
      <c r="J4" s="10">
        <v>1</v>
      </c>
      <c r="K4" s="10" t="s">
        <v>21</v>
      </c>
      <c r="L4" s="13" t="s">
        <v>23</v>
      </c>
      <c r="M4" s="11" t="s">
        <v>24</v>
      </c>
    </row>
    <row r="5" spans="1:13" ht="66" customHeight="1" x14ac:dyDescent="0.25">
      <c r="A5" s="9" t="s">
        <v>18</v>
      </c>
      <c r="B5" s="10">
        <v>1</v>
      </c>
      <c r="C5" s="10" t="s">
        <v>19</v>
      </c>
      <c r="D5" s="10" t="s">
        <v>25</v>
      </c>
      <c r="E5" s="10" t="s">
        <v>26</v>
      </c>
      <c r="F5" s="10">
        <v>2</v>
      </c>
      <c r="G5" s="11" t="s">
        <v>27</v>
      </c>
      <c r="H5" s="12">
        <v>46106</v>
      </c>
      <c r="I5" s="12">
        <v>46106</v>
      </c>
      <c r="J5" s="10">
        <v>2</v>
      </c>
      <c r="K5" s="10" t="s">
        <v>21</v>
      </c>
      <c r="L5" s="13" t="s">
        <v>23</v>
      </c>
      <c r="M5" s="11" t="s">
        <v>28</v>
      </c>
    </row>
    <row r="6" spans="1:13" ht="66" customHeight="1" x14ac:dyDescent="0.25">
      <c r="A6" s="9" t="s">
        <v>18</v>
      </c>
      <c r="B6" s="10">
        <v>1</v>
      </c>
      <c r="C6" s="10" t="s">
        <v>19</v>
      </c>
      <c r="D6" s="10" t="s">
        <v>29</v>
      </c>
      <c r="E6" s="10" t="s">
        <v>26</v>
      </c>
      <c r="F6" s="10">
        <v>1</v>
      </c>
      <c r="G6" s="11" t="s">
        <v>30</v>
      </c>
      <c r="H6" s="12">
        <v>46108</v>
      </c>
      <c r="I6" s="12">
        <v>46108</v>
      </c>
      <c r="J6" s="10">
        <v>1</v>
      </c>
      <c r="K6" s="10" t="s">
        <v>21</v>
      </c>
      <c r="L6" s="13" t="s">
        <v>23</v>
      </c>
      <c r="M6" s="11" t="s">
        <v>31</v>
      </c>
    </row>
    <row r="7" spans="1:13" ht="66" customHeight="1" x14ac:dyDescent="0.25">
      <c r="A7" s="9" t="s">
        <v>18</v>
      </c>
      <c r="B7" s="10">
        <v>1</v>
      </c>
      <c r="C7" s="10" t="s">
        <v>32</v>
      </c>
      <c r="D7" s="10" t="s">
        <v>33</v>
      </c>
      <c r="E7" s="10" t="s">
        <v>26</v>
      </c>
      <c r="F7" s="10">
        <v>4</v>
      </c>
      <c r="G7" s="11" t="s">
        <v>34</v>
      </c>
      <c r="H7" s="12">
        <v>46108</v>
      </c>
      <c r="I7" s="12">
        <v>46113</v>
      </c>
      <c r="J7" s="10">
        <v>4</v>
      </c>
      <c r="K7" s="10" t="s">
        <v>21</v>
      </c>
      <c r="L7" s="13" t="s">
        <v>23</v>
      </c>
      <c r="M7" s="11" t="s">
        <v>35</v>
      </c>
    </row>
    <row r="8" spans="1:13" ht="66" customHeight="1" x14ac:dyDescent="0.25">
      <c r="A8" s="9" t="s">
        <v>18</v>
      </c>
      <c r="B8" s="10">
        <v>1</v>
      </c>
      <c r="C8" s="10" t="s">
        <v>18</v>
      </c>
      <c r="D8" s="10" t="s">
        <v>36</v>
      </c>
      <c r="E8" s="10" t="s">
        <v>37</v>
      </c>
      <c r="F8" s="10">
        <v>3</v>
      </c>
      <c r="G8" s="11" t="s">
        <v>38</v>
      </c>
      <c r="H8" s="12">
        <v>46102</v>
      </c>
      <c r="I8" s="12">
        <v>46106</v>
      </c>
      <c r="J8" s="10">
        <v>3</v>
      </c>
      <c r="K8" s="10" t="s">
        <v>21</v>
      </c>
      <c r="L8" s="13" t="s">
        <v>23</v>
      </c>
      <c r="M8" s="11" t="s">
        <v>39</v>
      </c>
    </row>
    <row r="9" spans="1:13" ht="66" customHeight="1" x14ac:dyDescent="0.25">
      <c r="A9" s="9" t="s">
        <v>18</v>
      </c>
      <c r="B9" s="10">
        <v>1</v>
      </c>
      <c r="C9" s="10" t="s">
        <v>18</v>
      </c>
      <c r="D9" s="10" t="s">
        <v>40</v>
      </c>
      <c r="E9" s="10" t="s">
        <v>41</v>
      </c>
      <c r="F9" s="10">
        <v>3</v>
      </c>
      <c r="G9" s="11" t="s">
        <v>38</v>
      </c>
      <c r="H9" s="12">
        <v>46102</v>
      </c>
      <c r="I9" s="12">
        <v>46106</v>
      </c>
      <c r="J9" s="10">
        <v>3</v>
      </c>
      <c r="K9" s="10" t="s">
        <v>21</v>
      </c>
      <c r="L9" s="13" t="s">
        <v>23</v>
      </c>
      <c r="M9" s="11" t="s">
        <v>42</v>
      </c>
    </row>
    <row r="10" spans="1:13" ht="51" customHeight="1" x14ac:dyDescent="0.25">
      <c r="A10" s="9" t="s">
        <v>18</v>
      </c>
      <c r="B10" s="10">
        <v>1</v>
      </c>
      <c r="C10" s="10" t="s">
        <v>18</v>
      </c>
      <c r="D10" s="10" t="s">
        <v>43</v>
      </c>
      <c r="E10" s="10" t="s">
        <v>44</v>
      </c>
      <c r="F10" s="10">
        <v>3</v>
      </c>
      <c r="G10" s="11" t="s">
        <v>45</v>
      </c>
      <c r="H10" s="12">
        <v>46109</v>
      </c>
      <c r="I10" s="12">
        <v>46115</v>
      </c>
      <c r="J10" s="10">
        <v>3</v>
      </c>
      <c r="K10" s="10" t="s">
        <v>21</v>
      </c>
      <c r="L10" s="13" t="s">
        <v>23</v>
      </c>
      <c r="M10" s="11" t="s">
        <v>46</v>
      </c>
    </row>
    <row r="11" spans="1:13" ht="51" customHeight="1" x14ac:dyDescent="0.25">
      <c r="A11" s="9" t="s">
        <v>18</v>
      </c>
      <c r="B11" s="10">
        <v>1</v>
      </c>
      <c r="C11" s="10" t="s">
        <v>18</v>
      </c>
      <c r="D11" s="10" t="s">
        <v>47</v>
      </c>
      <c r="E11" s="10" t="s">
        <v>37</v>
      </c>
      <c r="F11" s="10">
        <v>2</v>
      </c>
      <c r="G11" s="11" t="s">
        <v>48</v>
      </c>
      <c r="H11" s="12">
        <v>46108</v>
      </c>
      <c r="I11" s="12">
        <v>46117</v>
      </c>
      <c r="J11" s="10">
        <v>2</v>
      </c>
      <c r="K11" s="10" t="s">
        <v>21</v>
      </c>
      <c r="L11" s="13" t="s">
        <v>23</v>
      </c>
      <c r="M11" s="11" t="s">
        <v>49</v>
      </c>
    </row>
    <row r="12" spans="1:13" ht="66" customHeight="1" x14ac:dyDescent="0.25">
      <c r="A12" s="9" t="s">
        <v>18</v>
      </c>
      <c r="B12" s="10">
        <v>1</v>
      </c>
      <c r="C12" s="10" t="s">
        <v>18</v>
      </c>
      <c r="D12" s="10" t="s">
        <v>50</v>
      </c>
      <c r="E12" s="10" t="s">
        <v>37</v>
      </c>
      <c r="F12" s="10">
        <v>2</v>
      </c>
      <c r="G12" s="11" t="s">
        <v>51</v>
      </c>
      <c r="H12" s="12">
        <v>46109</v>
      </c>
      <c r="I12" s="12">
        <v>46117</v>
      </c>
      <c r="J12" s="10">
        <v>2</v>
      </c>
      <c r="K12" s="10" t="s">
        <v>21</v>
      </c>
      <c r="L12" s="13" t="s">
        <v>23</v>
      </c>
      <c r="M12" s="11" t="s">
        <v>52</v>
      </c>
    </row>
    <row r="13" spans="1:13" ht="66" customHeight="1" x14ac:dyDescent="0.25">
      <c r="A13" s="9" t="s">
        <v>18</v>
      </c>
      <c r="B13" s="10">
        <v>1</v>
      </c>
      <c r="C13" s="10" t="s">
        <v>18</v>
      </c>
      <c r="D13" s="10" t="s">
        <v>53</v>
      </c>
      <c r="E13" s="10" t="s">
        <v>44</v>
      </c>
      <c r="F13" s="10">
        <v>2</v>
      </c>
      <c r="G13" s="11" t="s">
        <v>54</v>
      </c>
      <c r="H13" s="12">
        <v>46107</v>
      </c>
      <c r="I13" s="12">
        <v>46113</v>
      </c>
      <c r="J13" s="10">
        <v>2</v>
      </c>
      <c r="K13" s="10" t="s">
        <v>21</v>
      </c>
      <c r="L13" s="13" t="s">
        <v>23</v>
      </c>
      <c r="M13" s="11" t="s">
        <v>55</v>
      </c>
    </row>
    <row r="14" spans="1:13" ht="51" customHeight="1" x14ac:dyDescent="0.25">
      <c r="A14" s="9" t="s">
        <v>18</v>
      </c>
      <c r="B14" s="10">
        <v>1</v>
      </c>
      <c r="C14" s="10" t="s">
        <v>56</v>
      </c>
      <c r="D14" s="10" t="s">
        <v>57</v>
      </c>
      <c r="E14" s="10" t="s">
        <v>26</v>
      </c>
      <c r="F14" s="10">
        <v>2</v>
      </c>
      <c r="G14" s="11" t="s">
        <v>58</v>
      </c>
      <c r="H14" s="12">
        <v>46103</v>
      </c>
      <c r="I14" s="12">
        <v>46104</v>
      </c>
      <c r="J14" s="10">
        <v>2</v>
      </c>
      <c r="K14" s="10" t="s">
        <v>21</v>
      </c>
      <c r="L14" s="13" t="s">
        <v>23</v>
      </c>
      <c r="M14" s="11" t="s">
        <v>59</v>
      </c>
    </row>
    <row r="15" spans="1:13" ht="66" customHeight="1" x14ac:dyDescent="0.25">
      <c r="A15" s="9" t="s">
        <v>18</v>
      </c>
      <c r="B15" s="10">
        <v>1</v>
      </c>
      <c r="C15" s="10" t="s">
        <v>60</v>
      </c>
      <c r="D15" s="10" t="s">
        <v>61</v>
      </c>
      <c r="E15" s="10" t="s">
        <v>41</v>
      </c>
      <c r="F15" s="10">
        <v>3</v>
      </c>
      <c r="G15" s="11" t="s">
        <v>62</v>
      </c>
      <c r="H15" s="12">
        <v>46112</v>
      </c>
      <c r="I15" s="12">
        <v>46117</v>
      </c>
      <c r="J15" s="10">
        <v>3</v>
      </c>
      <c r="K15" s="10" t="s">
        <v>21</v>
      </c>
      <c r="L15" s="13" t="s">
        <v>23</v>
      </c>
      <c r="M15" s="11" t="s">
        <v>63</v>
      </c>
    </row>
    <row r="16" spans="1:13" ht="66" customHeight="1" x14ac:dyDescent="0.25">
      <c r="A16" s="9" t="s">
        <v>18</v>
      </c>
      <c r="B16" s="10">
        <v>1</v>
      </c>
      <c r="C16" s="10" t="s">
        <v>56</v>
      </c>
      <c r="D16" s="10" t="s">
        <v>64</v>
      </c>
      <c r="E16" s="10" t="s">
        <v>65</v>
      </c>
      <c r="F16" s="10">
        <v>3</v>
      </c>
      <c r="G16" s="11" t="s">
        <v>66</v>
      </c>
      <c r="H16" s="12">
        <v>46105</v>
      </c>
      <c r="I16" s="12">
        <v>46105</v>
      </c>
      <c r="J16" s="10">
        <v>3</v>
      </c>
      <c r="K16" s="10" t="s">
        <v>21</v>
      </c>
      <c r="L16" s="13" t="s">
        <v>23</v>
      </c>
      <c r="M16" s="11" t="s">
        <v>67</v>
      </c>
    </row>
    <row r="17" spans="1:13" ht="66" customHeight="1" x14ac:dyDescent="0.25">
      <c r="A17" s="9" t="s">
        <v>18</v>
      </c>
      <c r="B17" s="10">
        <v>1</v>
      </c>
      <c r="C17" s="10" t="s">
        <v>68</v>
      </c>
      <c r="D17" s="10" t="s">
        <v>69</v>
      </c>
      <c r="E17" s="10" t="s">
        <v>44</v>
      </c>
      <c r="F17" s="10">
        <v>2</v>
      </c>
      <c r="G17" s="11" t="s">
        <v>27</v>
      </c>
      <c r="H17" s="12">
        <v>46106</v>
      </c>
      <c r="I17" s="12">
        <v>46106</v>
      </c>
      <c r="J17" s="10">
        <v>2</v>
      </c>
      <c r="K17" s="10" t="s">
        <v>21</v>
      </c>
      <c r="L17" s="13" t="s">
        <v>23</v>
      </c>
      <c r="M17" s="11" t="s">
        <v>70</v>
      </c>
    </row>
    <row r="18" spans="1:13" ht="51" customHeight="1" x14ac:dyDescent="0.25">
      <c r="A18" s="9" t="s">
        <v>18</v>
      </c>
      <c r="B18" s="10">
        <v>1</v>
      </c>
      <c r="C18" s="10" t="s">
        <v>71</v>
      </c>
      <c r="D18" s="10" t="s">
        <v>72</v>
      </c>
      <c r="E18" s="10" t="s">
        <v>37</v>
      </c>
      <c r="F18" s="10">
        <v>2</v>
      </c>
      <c r="G18" s="11" t="s">
        <v>73</v>
      </c>
      <c r="H18" s="12">
        <v>46111</v>
      </c>
      <c r="I18" s="12">
        <v>46113</v>
      </c>
      <c r="J18" s="10">
        <v>2</v>
      </c>
      <c r="K18" s="10" t="s">
        <v>21</v>
      </c>
      <c r="L18" s="13" t="s">
        <v>23</v>
      </c>
      <c r="M18" s="11" t="s">
        <v>74</v>
      </c>
    </row>
    <row r="19" spans="1:13" ht="96" customHeight="1" x14ac:dyDescent="0.25">
      <c r="A19" s="9" t="s">
        <v>18</v>
      </c>
      <c r="B19" s="10">
        <v>1</v>
      </c>
      <c r="C19" s="10" t="s">
        <v>75</v>
      </c>
      <c r="D19" s="10" t="s">
        <v>76</v>
      </c>
      <c r="E19" s="10" t="s">
        <v>26</v>
      </c>
      <c r="F19" s="10">
        <v>2</v>
      </c>
      <c r="G19" s="11" t="s">
        <v>77</v>
      </c>
      <c r="H19" s="12">
        <v>46112</v>
      </c>
      <c r="I19" s="12">
        <v>46112</v>
      </c>
      <c r="J19" s="10">
        <v>2</v>
      </c>
      <c r="K19" s="10" t="s">
        <v>21</v>
      </c>
      <c r="L19" s="13" t="s">
        <v>23</v>
      </c>
      <c r="M19" s="11" t="s">
        <v>78</v>
      </c>
    </row>
    <row r="20" spans="1:13" ht="66" customHeight="1" x14ac:dyDescent="0.25">
      <c r="A20" s="9" t="s">
        <v>18</v>
      </c>
      <c r="B20" s="10">
        <v>1</v>
      </c>
      <c r="C20" s="10" t="s">
        <v>79</v>
      </c>
      <c r="D20" s="10" t="s">
        <v>80</v>
      </c>
      <c r="E20" s="10" t="s">
        <v>81</v>
      </c>
      <c r="F20" s="10">
        <v>3</v>
      </c>
      <c r="G20" s="11" t="s">
        <v>82</v>
      </c>
      <c r="H20" s="12">
        <v>46103</v>
      </c>
      <c r="I20" s="12">
        <v>46108</v>
      </c>
      <c r="J20" s="10">
        <v>3</v>
      </c>
      <c r="K20" s="10" t="s">
        <v>21</v>
      </c>
      <c r="L20" s="13" t="s">
        <v>23</v>
      </c>
      <c r="M20" s="11" t="s">
        <v>83</v>
      </c>
    </row>
    <row r="21" spans="1:13" ht="66" customHeight="1" x14ac:dyDescent="0.25">
      <c r="A21" s="9" t="s">
        <v>18</v>
      </c>
      <c r="B21" s="10">
        <v>1</v>
      </c>
      <c r="C21" s="10" t="s">
        <v>84</v>
      </c>
      <c r="D21" s="10" t="s">
        <v>85</v>
      </c>
      <c r="E21" s="10" t="s">
        <v>86</v>
      </c>
      <c r="F21" s="10">
        <v>3</v>
      </c>
      <c r="G21" s="11" t="s">
        <v>87</v>
      </c>
      <c r="H21" s="12">
        <v>46116</v>
      </c>
      <c r="I21" s="12">
        <v>46118</v>
      </c>
      <c r="J21" s="10">
        <v>3</v>
      </c>
      <c r="K21" s="10" t="s">
        <v>21</v>
      </c>
      <c r="L21" s="13" t="s">
        <v>23</v>
      </c>
      <c r="M21" s="11" t="s">
        <v>88</v>
      </c>
    </row>
    <row r="22" spans="1:13" ht="51" customHeight="1" x14ac:dyDescent="0.25">
      <c r="A22" s="9" t="s">
        <v>18</v>
      </c>
      <c r="B22" s="10">
        <v>1</v>
      </c>
      <c r="C22" s="10" t="s">
        <v>60</v>
      </c>
      <c r="D22" s="10" t="s">
        <v>89</v>
      </c>
      <c r="E22" s="10" t="s">
        <v>44</v>
      </c>
      <c r="F22" s="10">
        <v>2</v>
      </c>
      <c r="G22" s="11" t="s">
        <v>90</v>
      </c>
      <c r="H22" s="12">
        <v>46116</v>
      </c>
      <c r="I22" s="12">
        <v>46117</v>
      </c>
      <c r="J22" s="10">
        <v>2</v>
      </c>
      <c r="K22" s="10" t="s">
        <v>21</v>
      </c>
      <c r="L22" s="13" t="s">
        <v>23</v>
      </c>
      <c r="M22" s="11" t="s">
        <v>91</v>
      </c>
    </row>
    <row r="23" spans="1:13" ht="66" customHeight="1" x14ac:dyDescent="0.25">
      <c r="A23" s="9" t="s">
        <v>18</v>
      </c>
      <c r="B23" s="10">
        <v>1</v>
      </c>
      <c r="C23" s="10" t="s">
        <v>92</v>
      </c>
      <c r="D23" s="10" t="s">
        <v>93</v>
      </c>
      <c r="E23" s="10" t="s">
        <v>44</v>
      </c>
      <c r="F23" s="10">
        <v>1</v>
      </c>
      <c r="G23" s="11" t="s">
        <v>94</v>
      </c>
      <c r="H23" s="12">
        <v>46118</v>
      </c>
      <c r="I23" s="12">
        <v>46118</v>
      </c>
      <c r="J23" s="10">
        <v>1</v>
      </c>
      <c r="K23" s="10" t="s">
        <v>21</v>
      </c>
      <c r="L23" s="13" t="s">
        <v>23</v>
      </c>
      <c r="M23" s="11" t="s">
        <v>95</v>
      </c>
    </row>
    <row r="24" spans="1:13" ht="66" customHeight="1" x14ac:dyDescent="0.25">
      <c r="A24" s="9" t="s">
        <v>18</v>
      </c>
      <c r="B24" s="10">
        <v>1</v>
      </c>
      <c r="C24" s="10" t="s">
        <v>96</v>
      </c>
      <c r="D24" s="10" t="s">
        <v>97</v>
      </c>
      <c r="E24" s="10" t="s">
        <v>98</v>
      </c>
      <c r="F24" s="10">
        <v>8</v>
      </c>
      <c r="G24" s="11" t="s">
        <v>99</v>
      </c>
      <c r="H24" s="12">
        <v>46102</v>
      </c>
      <c r="I24" s="12">
        <v>46127</v>
      </c>
      <c r="J24" s="10">
        <v>8</v>
      </c>
      <c r="K24" s="10" t="s">
        <v>21</v>
      </c>
      <c r="L24" s="13" t="s">
        <v>23</v>
      </c>
      <c r="M24" s="11" t="s">
        <v>100</v>
      </c>
    </row>
    <row r="25" spans="1:13" ht="66" customHeight="1" x14ac:dyDescent="0.25">
      <c r="A25" s="9" t="s">
        <v>18</v>
      </c>
      <c r="B25" s="10">
        <v>1</v>
      </c>
      <c r="C25" s="10" t="s">
        <v>96</v>
      </c>
      <c r="D25" s="10" t="s">
        <v>101</v>
      </c>
      <c r="E25" s="10" t="s">
        <v>21</v>
      </c>
      <c r="F25" s="10">
        <v>1</v>
      </c>
      <c r="G25" s="11" t="s">
        <v>102</v>
      </c>
      <c r="H25" s="12">
        <v>46120</v>
      </c>
      <c r="I25" s="12">
        <v>46120</v>
      </c>
      <c r="J25" s="10">
        <v>1</v>
      </c>
      <c r="K25" s="10" t="s">
        <v>21</v>
      </c>
      <c r="L25" s="13" t="s">
        <v>23</v>
      </c>
      <c r="M25" s="11" t="s">
        <v>103</v>
      </c>
    </row>
    <row r="26" spans="1:13" ht="66" customHeight="1" x14ac:dyDescent="0.25">
      <c r="A26" s="9" t="s">
        <v>18</v>
      </c>
      <c r="B26" s="10">
        <v>1</v>
      </c>
      <c r="C26" s="10" t="s">
        <v>96</v>
      </c>
      <c r="D26" s="10" t="s">
        <v>104</v>
      </c>
      <c r="E26" s="10" t="s">
        <v>105</v>
      </c>
      <c r="F26" s="10">
        <v>6</v>
      </c>
      <c r="G26" s="11" t="s">
        <v>106</v>
      </c>
      <c r="H26" s="12">
        <v>46098</v>
      </c>
      <c r="I26" s="12">
        <v>46129</v>
      </c>
      <c r="J26" s="10">
        <v>6</v>
      </c>
      <c r="K26" s="10" t="s">
        <v>21</v>
      </c>
      <c r="L26" s="13" t="s">
        <v>23</v>
      </c>
      <c r="M26" s="11" t="s">
        <v>107</v>
      </c>
    </row>
    <row r="27" spans="1:13" ht="66" customHeight="1" x14ac:dyDescent="0.25">
      <c r="A27" s="9" t="s">
        <v>18</v>
      </c>
      <c r="B27" s="10">
        <v>1</v>
      </c>
      <c r="C27" s="10" t="s">
        <v>108</v>
      </c>
      <c r="D27" s="10" t="s">
        <v>109</v>
      </c>
      <c r="E27" s="10" t="s">
        <v>37</v>
      </c>
      <c r="F27" s="10">
        <v>5</v>
      </c>
      <c r="G27" s="11" t="s">
        <v>110</v>
      </c>
      <c r="H27" s="12">
        <v>46112</v>
      </c>
      <c r="I27" s="12">
        <v>46130</v>
      </c>
      <c r="J27" s="10">
        <v>5</v>
      </c>
      <c r="K27" s="10" t="s">
        <v>21</v>
      </c>
      <c r="L27" s="13" t="s">
        <v>23</v>
      </c>
      <c r="M27" s="11" t="s">
        <v>111</v>
      </c>
    </row>
    <row r="28" spans="1:13" ht="66" customHeight="1" x14ac:dyDescent="0.25">
      <c r="A28" s="9" t="s">
        <v>18</v>
      </c>
      <c r="B28" s="10">
        <v>1</v>
      </c>
      <c r="C28" s="10" t="s">
        <v>108</v>
      </c>
      <c r="D28" s="10" t="s">
        <v>112</v>
      </c>
      <c r="E28" s="10" t="s">
        <v>105</v>
      </c>
      <c r="F28" s="10">
        <v>5</v>
      </c>
      <c r="G28" s="11" t="s">
        <v>113</v>
      </c>
      <c r="H28" s="12">
        <v>46113</v>
      </c>
      <c r="I28" s="12">
        <v>46127</v>
      </c>
      <c r="J28" s="10">
        <v>5</v>
      </c>
      <c r="K28" s="10" t="s">
        <v>21</v>
      </c>
      <c r="L28" s="13" t="s">
        <v>23</v>
      </c>
      <c r="M28" s="11" t="s">
        <v>114</v>
      </c>
    </row>
    <row r="29" spans="1:13" ht="51" customHeight="1" x14ac:dyDescent="0.25">
      <c r="A29" s="9" t="s">
        <v>18</v>
      </c>
      <c r="B29" s="10">
        <v>1</v>
      </c>
      <c r="C29" s="10" t="s">
        <v>115</v>
      </c>
      <c r="D29" s="10" t="s">
        <v>116</v>
      </c>
      <c r="E29" s="10" t="s">
        <v>44</v>
      </c>
      <c r="F29" s="10">
        <v>3</v>
      </c>
      <c r="G29" s="11" t="s">
        <v>117</v>
      </c>
      <c r="H29" s="12">
        <v>46123</v>
      </c>
      <c r="I29" s="12">
        <v>46129</v>
      </c>
      <c r="J29" s="10">
        <v>3</v>
      </c>
      <c r="K29" s="10" t="s">
        <v>21</v>
      </c>
      <c r="L29" s="13" t="s">
        <v>23</v>
      </c>
      <c r="M29" s="11" t="s">
        <v>118</v>
      </c>
    </row>
    <row r="30" spans="1:13" ht="66" customHeight="1" x14ac:dyDescent="0.25">
      <c r="A30" s="9" t="s">
        <v>18</v>
      </c>
      <c r="B30" s="10">
        <v>1</v>
      </c>
      <c r="C30" s="10" t="s">
        <v>119</v>
      </c>
      <c r="D30" s="10" t="s">
        <v>120</v>
      </c>
      <c r="E30" s="10" t="s">
        <v>37</v>
      </c>
      <c r="F30" s="10">
        <v>3</v>
      </c>
      <c r="G30" s="11" t="s">
        <v>121</v>
      </c>
      <c r="H30" s="12">
        <v>46113</v>
      </c>
      <c r="I30" s="12">
        <v>46130</v>
      </c>
      <c r="J30" s="10">
        <v>3</v>
      </c>
      <c r="K30" s="10" t="s">
        <v>21</v>
      </c>
      <c r="L30" s="13" t="s">
        <v>23</v>
      </c>
      <c r="M30" s="11" t="s">
        <v>122</v>
      </c>
    </row>
    <row r="31" spans="1:13" ht="51" customHeight="1" x14ac:dyDescent="0.25">
      <c r="A31" s="9" t="s">
        <v>18</v>
      </c>
      <c r="B31" s="10">
        <v>1</v>
      </c>
      <c r="C31" s="10" t="s">
        <v>123</v>
      </c>
      <c r="D31" s="10" t="s">
        <v>124</v>
      </c>
      <c r="E31" s="10" t="s">
        <v>125</v>
      </c>
      <c r="F31" s="10">
        <v>2</v>
      </c>
      <c r="G31" s="11" t="s">
        <v>126</v>
      </c>
      <c r="H31" s="12">
        <v>46128</v>
      </c>
      <c r="I31" s="12">
        <v>46128</v>
      </c>
      <c r="J31" s="10">
        <v>2</v>
      </c>
      <c r="K31" s="10" t="s">
        <v>21</v>
      </c>
      <c r="L31" s="13" t="s">
        <v>23</v>
      </c>
      <c r="M31" s="11" t="s">
        <v>127</v>
      </c>
    </row>
    <row r="32" spans="1:13" ht="51" customHeight="1" x14ac:dyDescent="0.25">
      <c r="A32" s="9" t="s">
        <v>18</v>
      </c>
      <c r="B32" s="10">
        <v>1</v>
      </c>
      <c r="C32" s="10" t="s">
        <v>123</v>
      </c>
      <c r="D32" s="10" t="s">
        <v>128</v>
      </c>
      <c r="E32" s="10" t="s">
        <v>21</v>
      </c>
      <c r="F32" s="10">
        <v>3</v>
      </c>
      <c r="G32" s="11" t="s">
        <v>129</v>
      </c>
      <c r="H32" s="12">
        <v>46128</v>
      </c>
      <c r="I32" s="12">
        <v>46131</v>
      </c>
      <c r="J32" s="10">
        <v>3</v>
      </c>
      <c r="K32" s="10" t="s">
        <v>21</v>
      </c>
      <c r="L32" s="13" t="s">
        <v>23</v>
      </c>
      <c r="M32" s="11" t="s">
        <v>130</v>
      </c>
    </row>
    <row r="33" spans="1:13" ht="51" customHeight="1" x14ac:dyDescent="0.25">
      <c r="A33" s="9" t="s">
        <v>18</v>
      </c>
      <c r="B33" s="10">
        <v>1</v>
      </c>
      <c r="C33" s="10" t="s">
        <v>123</v>
      </c>
      <c r="D33" s="10" t="s">
        <v>131</v>
      </c>
      <c r="E33" s="10" t="s">
        <v>21</v>
      </c>
      <c r="F33" s="10">
        <v>1</v>
      </c>
      <c r="G33" s="11" t="s">
        <v>132</v>
      </c>
      <c r="H33" s="12">
        <v>46131</v>
      </c>
      <c r="I33" s="12">
        <v>46131</v>
      </c>
      <c r="J33" s="10">
        <v>1</v>
      </c>
      <c r="K33" s="10" t="s">
        <v>21</v>
      </c>
      <c r="L33" s="13" t="s">
        <v>23</v>
      </c>
      <c r="M33" s="11" t="s">
        <v>133</v>
      </c>
    </row>
    <row r="34" spans="1:13" ht="66" customHeight="1" x14ac:dyDescent="0.25">
      <c r="A34" s="9" t="s">
        <v>18</v>
      </c>
      <c r="B34" s="10">
        <v>1</v>
      </c>
      <c r="C34" s="10" t="s">
        <v>123</v>
      </c>
      <c r="D34" s="10" t="s">
        <v>134</v>
      </c>
      <c r="E34" s="10" t="s">
        <v>26</v>
      </c>
      <c r="F34" s="10">
        <v>2</v>
      </c>
      <c r="G34" s="11" t="s">
        <v>135</v>
      </c>
      <c r="H34" s="12">
        <v>46132</v>
      </c>
      <c r="I34" s="12">
        <v>46133</v>
      </c>
      <c r="J34" s="10">
        <v>2</v>
      </c>
      <c r="K34" s="10" t="s">
        <v>21</v>
      </c>
      <c r="L34" s="13" t="s">
        <v>23</v>
      </c>
      <c r="M34" s="11" t="s">
        <v>136</v>
      </c>
    </row>
    <row r="35" spans="1:13" ht="51" customHeight="1" x14ac:dyDescent="0.25">
      <c r="A35" s="9" t="s">
        <v>18</v>
      </c>
      <c r="B35" s="10">
        <v>1</v>
      </c>
      <c r="C35" s="10" t="s">
        <v>123</v>
      </c>
      <c r="D35" s="10" t="s">
        <v>137</v>
      </c>
      <c r="E35" s="10" t="s">
        <v>26</v>
      </c>
      <c r="F35" s="10">
        <v>1</v>
      </c>
      <c r="G35" s="11" t="s">
        <v>138</v>
      </c>
      <c r="H35" s="12">
        <v>46134</v>
      </c>
      <c r="I35" s="12">
        <v>46134</v>
      </c>
      <c r="J35" s="10">
        <v>1</v>
      </c>
      <c r="K35" s="10" t="s">
        <v>21</v>
      </c>
      <c r="L35" s="13" t="s">
        <v>23</v>
      </c>
      <c r="M35" s="11" t="s">
        <v>139</v>
      </c>
    </row>
    <row r="36" spans="1:13" ht="51" customHeight="1" x14ac:dyDescent="0.25">
      <c r="A36" s="9" t="s">
        <v>140</v>
      </c>
      <c r="B36" s="10">
        <v>1</v>
      </c>
      <c r="C36" s="10" t="s">
        <v>141</v>
      </c>
      <c r="D36" s="10" t="s">
        <v>142</v>
      </c>
      <c r="E36" s="10" t="s">
        <v>37</v>
      </c>
      <c r="F36" s="10">
        <v>6</v>
      </c>
      <c r="G36" s="11" t="s">
        <v>143</v>
      </c>
      <c r="H36" s="12">
        <v>46152</v>
      </c>
      <c r="I36" s="12">
        <v>46168</v>
      </c>
      <c r="J36" s="10">
        <v>5</v>
      </c>
      <c r="K36" s="10" t="s">
        <v>37</v>
      </c>
      <c r="L36" s="13" t="s">
        <v>23</v>
      </c>
      <c r="M36" s="11" t="s">
        <v>144</v>
      </c>
    </row>
    <row r="37" spans="1:13" ht="51" customHeight="1" x14ac:dyDescent="0.25">
      <c r="A37" s="9" t="s">
        <v>140</v>
      </c>
      <c r="B37" s="10">
        <v>1</v>
      </c>
      <c r="C37" s="10" t="s">
        <v>141</v>
      </c>
      <c r="D37" s="10" t="s">
        <v>145</v>
      </c>
      <c r="E37" s="10" t="s">
        <v>37</v>
      </c>
      <c r="F37" s="10">
        <v>2</v>
      </c>
      <c r="G37" s="11" t="s">
        <v>146</v>
      </c>
      <c r="H37" s="12">
        <v>46161</v>
      </c>
      <c r="I37" s="12">
        <v>46168</v>
      </c>
      <c r="J37" s="10">
        <v>1</v>
      </c>
      <c r="K37" s="10" t="s">
        <v>37</v>
      </c>
      <c r="L37" s="13" t="s">
        <v>23</v>
      </c>
      <c r="M37" s="11" t="s">
        <v>147</v>
      </c>
    </row>
    <row r="38" spans="1:13" ht="51" customHeight="1" x14ac:dyDescent="0.25">
      <c r="A38" s="9" t="s">
        <v>140</v>
      </c>
      <c r="B38" s="10">
        <v>1</v>
      </c>
      <c r="C38" s="10" t="s">
        <v>141</v>
      </c>
      <c r="D38" s="10" t="s">
        <v>148</v>
      </c>
      <c r="E38" s="10" t="s">
        <v>37</v>
      </c>
      <c r="F38" s="10">
        <v>2</v>
      </c>
      <c r="G38" s="11" t="s">
        <v>149</v>
      </c>
      <c r="H38" s="12">
        <v>46151</v>
      </c>
      <c r="I38" s="12">
        <v>46168</v>
      </c>
      <c r="J38" s="10">
        <v>2</v>
      </c>
      <c r="K38" s="10" t="s">
        <v>37</v>
      </c>
      <c r="L38" s="13" t="s">
        <v>23</v>
      </c>
      <c r="M38" s="11" t="s">
        <v>150</v>
      </c>
    </row>
    <row r="39" spans="1:13" ht="51" customHeight="1" x14ac:dyDescent="0.25">
      <c r="A39" s="9" t="s">
        <v>140</v>
      </c>
      <c r="B39" s="10">
        <v>1</v>
      </c>
      <c r="C39" s="10" t="s">
        <v>141</v>
      </c>
      <c r="D39" s="10" t="s">
        <v>151</v>
      </c>
      <c r="E39" s="10" t="s">
        <v>37</v>
      </c>
      <c r="F39" s="10">
        <v>2</v>
      </c>
      <c r="G39" s="11" t="s">
        <v>152</v>
      </c>
      <c r="H39" s="12">
        <v>46162</v>
      </c>
      <c r="I39" s="12">
        <v>46168</v>
      </c>
      <c r="J39" s="10">
        <v>1</v>
      </c>
      <c r="K39" s="10" t="s">
        <v>37</v>
      </c>
      <c r="L39" s="13" t="s">
        <v>23</v>
      </c>
      <c r="M39" s="11" t="s">
        <v>153</v>
      </c>
    </row>
    <row r="40" spans="1:13" ht="51" customHeight="1" x14ac:dyDescent="0.25">
      <c r="A40" s="9" t="s">
        <v>140</v>
      </c>
      <c r="B40" s="10">
        <v>1</v>
      </c>
      <c r="C40" s="10" t="s">
        <v>154</v>
      </c>
      <c r="D40" s="10" t="s">
        <v>155</v>
      </c>
      <c r="E40" s="10" t="s">
        <v>41</v>
      </c>
      <c r="F40" s="10">
        <v>3</v>
      </c>
      <c r="G40" s="11" t="s">
        <v>156</v>
      </c>
      <c r="H40" s="12">
        <v>46157</v>
      </c>
      <c r="I40" s="12">
        <v>46168</v>
      </c>
      <c r="J40" s="10">
        <v>2</v>
      </c>
      <c r="K40" s="10" t="s">
        <v>37</v>
      </c>
      <c r="L40" s="13" t="s">
        <v>23</v>
      </c>
      <c r="M40" s="11" t="s">
        <v>157</v>
      </c>
    </row>
    <row r="41" spans="1:13" ht="51" customHeight="1" x14ac:dyDescent="0.25">
      <c r="A41" s="9" t="s">
        <v>140</v>
      </c>
      <c r="B41" s="10">
        <v>1</v>
      </c>
      <c r="C41" s="10" t="s">
        <v>154</v>
      </c>
      <c r="D41" s="10" t="s">
        <v>158</v>
      </c>
      <c r="E41" s="10" t="s">
        <v>41</v>
      </c>
      <c r="F41" s="10">
        <v>5</v>
      </c>
      <c r="G41" s="11" t="s">
        <v>159</v>
      </c>
      <c r="H41" s="12">
        <v>46152</v>
      </c>
      <c r="I41" s="12">
        <v>46168</v>
      </c>
      <c r="J41" s="10">
        <v>7</v>
      </c>
      <c r="K41" s="10" t="s">
        <v>37</v>
      </c>
      <c r="L41" s="13" t="s">
        <v>23</v>
      </c>
      <c r="M41" s="11" t="s">
        <v>160</v>
      </c>
    </row>
    <row r="42" spans="1:13" ht="51" customHeight="1" x14ac:dyDescent="0.25">
      <c r="A42" s="9" t="s">
        <v>140</v>
      </c>
      <c r="B42" s="10">
        <v>1</v>
      </c>
      <c r="C42" s="10" t="s">
        <v>161</v>
      </c>
      <c r="D42" s="10" t="s">
        <v>162</v>
      </c>
      <c r="E42" s="10" t="s">
        <v>21</v>
      </c>
      <c r="F42" s="10">
        <v>3</v>
      </c>
      <c r="G42" s="11" t="s">
        <v>163</v>
      </c>
      <c r="H42" s="12">
        <v>46159</v>
      </c>
      <c r="I42" s="12">
        <v>46168</v>
      </c>
      <c r="J42" s="10">
        <v>3</v>
      </c>
      <c r="K42" s="10" t="s">
        <v>37</v>
      </c>
      <c r="L42" s="13" t="s">
        <v>23</v>
      </c>
      <c r="M42" s="11" t="s">
        <v>164</v>
      </c>
    </row>
    <row r="43" spans="1:13" ht="51" customHeight="1" x14ac:dyDescent="0.25">
      <c r="A43" s="9" t="s">
        <v>140</v>
      </c>
      <c r="B43" s="10">
        <v>1</v>
      </c>
      <c r="C43" s="10" t="s">
        <v>165</v>
      </c>
      <c r="D43" s="10" t="s">
        <v>166</v>
      </c>
      <c r="E43" s="10" t="s">
        <v>21</v>
      </c>
      <c r="F43" s="10">
        <v>3</v>
      </c>
      <c r="G43" s="11" t="s">
        <v>167</v>
      </c>
      <c r="H43" s="12">
        <v>46154</v>
      </c>
      <c r="I43" s="12">
        <v>46168</v>
      </c>
      <c r="J43" s="10">
        <v>2</v>
      </c>
      <c r="K43" s="10" t="s">
        <v>37</v>
      </c>
      <c r="L43" s="13" t="s">
        <v>23</v>
      </c>
      <c r="M43" s="11" t="s">
        <v>168</v>
      </c>
    </row>
    <row r="44" spans="1:13" ht="51" customHeight="1" x14ac:dyDescent="0.25">
      <c r="A44" s="9" t="s">
        <v>140</v>
      </c>
      <c r="B44" s="10">
        <v>1</v>
      </c>
      <c r="C44" s="10" t="s">
        <v>154</v>
      </c>
      <c r="D44" s="10" t="s">
        <v>169</v>
      </c>
      <c r="E44" s="10" t="s">
        <v>44</v>
      </c>
      <c r="F44" s="10">
        <v>3</v>
      </c>
      <c r="G44" s="11" t="s">
        <v>170</v>
      </c>
      <c r="H44" s="12">
        <v>46159</v>
      </c>
      <c r="I44" s="12">
        <v>46168</v>
      </c>
      <c r="J44" s="10">
        <v>2</v>
      </c>
      <c r="K44" s="10" t="s">
        <v>37</v>
      </c>
      <c r="L44" s="13" t="s">
        <v>23</v>
      </c>
      <c r="M44" s="11" t="s">
        <v>171</v>
      </c>
    </row>
    <row r="45" spans="1:13" ht="51" customHeight="1" x14ac:dyDescent="0.25">
      <c r="A45" s="9" t="s">
        <v>140</v>
      </c>
      <c r="B45" s="10">
        <v>1</v>
      </c>
      <c r="C45" s="10" t="s">
        <v>172</v>
      </c>
      <c r="D45" s="10" t="s">
        <v>173</v>
      </c>
      <c r="E45" s="10" t="s">
        <v>44</v>
      </c>
      <c r="F45" s="10">
        <v>3</v>
      </c>
      <c r="G45" s="11" t="s">
        <v>152</v>
      </c>
      <c r="H45" s="12">
        <v>46163</v>
      </c>
      <c r="I45" s="12">
        <v>46168</v>
      </c>
      <c r="J45" s="10">
        <v>1</v>
      </c>
      <c r="K45" s="10" t="s">
        <v>37</v>
      </c>
      <c r="L45" s="13" t="s">
        <v>23</v>
      </c>
      <c r="M45" s="11" t="s">
        <v>174</v>
      </c>
    </row>
    <row r="46" spans="1:13" ht="51" customHeight="1" x14ac:dyDescent="0.25">
      <c r="A46" s="9" t="s">
        <v>140</v>
      </c>
      <c r="B46" s="10">
        <v>2</v>
      </c>
      <c r="C46" s="10" t="s">
        <v>75</v>
      </c>
      <c r="D46" s="10" t="s">
        <v>175</v>
      </c>
      <c r="E46" s="10" t="s">
        <v>37</v>
      </c>
      <c r="F46" s="10">
        <v>3</v>
      </c>
      <c r="G46" s="11" t="s">
        <v>176</v>
      </c>
      <c r="H46" s="12">
        <v>46151</v>
      </c>
      <c r="I46" s="12">
        <v>46168</v>
      </c>
      <c r="J46" s="10">
        <v>3</v>
      </c>
      <c r="K46" s="10" t="s">
        <v>37</v>
      </c>
      <c r="L46" s="13" t="s">
        <v>23</v>
      </c>
      <c r="M46" s="11" t="s">
        <v>177</v>
      </c>
    </row>
    <row r="47" spans="1:13" ht="51" customHeight="1" x14ac:dyDescent="0.25">
      <c r="A47" s="9" t="s">
        <v>140</v>
      </c>
      <c r="B47" s="10">
        <v>2</v>
      </c>
      <c r="C47" s="10" t="s">
        <v>75</v>
      </c>
      <c r="D47" s="10" t="s">
        <v>178</v>
      </c>
      <c r="E47" s="10" t="s">
        <v>37</v>
      </c>
      <c r="F47" s="10">
        <v>3</v>
      </c>
      <c r="G47" s="11" t="s">
        <v>176</v>
      </c>
      <c r="H47" s="12">
        <v>46151</v>
      </c>
      <c r="I47" s="12">
        <v>46168</v>
      </c>
      <c r="J47" s="10">
        <v>3</v>
      </c>
      <c r="K47" s="10" t="s">
        <v>37</v>
      </c>
      <c r="L47" s="13" t="s">
        <v>23</v>
      </c>
      <c r="M47" s="11" t="s">
        <v>179</v>
      </c>
    </row>
    <row r="48" spans="1:13" ht="51" customHeight="1" x14ac:dyDescent="0.25">
      <c r="A48" s="9" t="s">
        <v>140</v>
      </c>
      <c r="B48" s="10">
        <v>1</v>
      </c>
      <c r="C48" s="10" t="s">
        <v>180</v>
      </c>
      <c r="D48" s="10" t="s">
        <v>181</v>
      </c>
      <c r="E48" s="10" t="s">
        <v>41</v>
      </c>
      <c r="F48" s="10">
        <v>10</v>
      </c>
      <c r="G48" s="11" t="s">
        <v>182</v>
      </c>
      <c r="H48" s="12">
        <v>46165</v>
      </c>
      <c r="I48" s="12">
        <v>46168</v>
      </c>
      <c r="J48" s="10">
        <v>7</v>
      </c>
      <c r="K48" s="10" t="s">
        <v>37</v>
      </c>
      <c r="L48" s="13" t="s">
        <v>23</v>
      </c>
      <c r="M48" s="11" t="s">
        <v>183</v>
      </c>
    </row>
    <row r="49" spans="1:13" ht="51" customHeight="1" x14ac:dyDescent="0.25">
      <c r="A49" s="9" t="s">
        <v>140</v>
      </c>
      <c r="B49" s="10">
        <v>1</v>
      </c>
      <c r="C49" s="10" t="s">
        <v>180</v>
      </c>
      <c r="D49" s="10" t="s">
        <v>181</v>
      </c>
      <c r="E49" s="10" t="s">
        <v>44</v>
      </c>
      <c r="F49" s="10">
        <v>10</v>
      </c>
      <c r="G49" s="11" t="s">
        <v>184</v>
      </c>
      <c r="H49" s="12">
        <v>46165</v>
      </c>
      <c r="I49" s="12">
        <v>46168</v>
      </c>
      <c r="J49" s="10">
        <v>7</v>
      </c>
      <c r="K49" s="10" t="s">
        <v>37</v>
      </c>
      <c r="L49" s="13" t="s">
        <v>23</v>
      </c>
      <c r="M49" s="11" t="s">
        <v>183</v>
      </c>
    </row>
    <row r="50" spans="1:13" ht="51" customHeight="1" x14ac:dyDescent="0.25">
      <c r="A50" s="9" t="s">
        <v>140</v>
      </c>
      <c r="B50" s="10">
        <v>1</v>
      </c>
      <c r="C50" s="10" t="s">
        <v>165</v>
      </c>
      <c r="D50" s="10" t="s">
        <v>185</v>
      </c>
      <c r="E50" s="10" t="s">
        <v>81</v>
      </c>
      <c r="F50" s="10">
        <v>3</v>
      </c>
      <c r="G50" s="11" t="s">
        <v>159</v>
      </c>
      <c r="H50" s="12">
        <v>46152</v>
      </c>
      <c r="I50" s="12">
        <v>46168</v>
      </c>
      <c r="J50" s="10">
        <v>7</v>
      </c>
      <c r="K50" s="10" t="s">
        <v>37</v>
      </c>
      <c r="L50" s="13" t="s">
        <v>23</v>
      </c>
      <c r="M50" s="11" t="s">
        <v>186</v>
      </c>
    </row>
    <row r="51" spans="1:13" ht="51" customHeight="1" x14ac:dyDescent="0.25">
      <c r="A51" s="9" t="s">
        <v>140</v>
      </c>
      <c r="B51" s="10">
        <v>1</v>
      </c>
      <c r="C51" s="10" t="s">
        <v>165</v>
      </c>
      <c r="D51" s="10" t="s">
        <v>185</v>
      </c>
      <c r="E51" s="10" t="s">
        <v>21</v>
      </c>
      <c r="F51" s="10">
        <v>3</v>
      </c>
      <c r="G51" s="11" t="s">
        <v>187</v>
      </c>
      <c r="H51" s="12">
        <v>46165</v>
      </c>
      <c r="I51" s="12">
        <v>46168</v>
      </c>
      <c r="J51" s="10">
        <v>4</v>
      </c>
      <c r="K51" s="10" t="s">
        <v>37</v>
      </c>
      <c r="L51" s="13" t="s">
        <v>23</v>
      </c>
      <c r="M51" s="11" t="s">
        <v>186</v>
      </c>
    </row>
    <row r="52" spans="1:13" ht="51" customHeight="1" x14ac:dyDescent="0.25">
      <c r="A52" s="9" t="s">
        <v>140</v>
      </c>
      <c r="B52" s="10">
        <v>1</v>
      </c>
      <c r="C52" s="10" t="s">
        <v>165</v>
      </c>
      <c r="D52" s="10" t="s">
        <v>185</v>
      </c>
      <c r="E52" s="10" t="s">
        <v>188</v>
      </c>
      <c r="F52" s="10">
        <v>3</v>
      </c>
      <c r="G52" s="11" t="s">
        <v>159</v>
      </c>
      <c r="H52" s="12">
        <v>46152</v>
      </c>
      <c r="I52" s="12">
        <v>46168</v>
      </c>
      <c r="J52" s="10">
        <v>7</v>
      </c>
      <c r="K52" s="10" t="s">
        <v>37</v>
      </c>
      <c r="L52" s="13" t="s">
        <v>23</v>
      </c>
      <c r="M52" s="11" t="s">
        <v>186</v>
      </c>
    </row>
    <row r="53" spans="1:13" ht="66" customHeight="1" x14ac:dyDescent="0.25">
      <c r="A53" s="9" t="s">
        <v>189</v>
      </c>
      <c r="B53" s="10">
        <v>1</v>
      </c>
      <c r="C53" s="10" t="s">
        <v>165</v>
      </c>
      <c r="D53" s="10" t="s">
        <v>190</v>
      </c>
      <c r="E53" s="10" t="s">
        <v>37</v>
      </c>
      <c r="F53" s="10">
        <v>2</v>
      </c>
      <c r="G53" s="11" t="s">
        <v>191</v>
      </c>
      <c r="H53" s="12">
        <v>46244</v>
      </c>
      <c r="I53" s="12">
        <v>46245</v>
      </c>
      <c r="J53" s="10">
        <v>2</v>
      </c>
      <c r="K53" s="10" t="s">
        <v>37</v>
      </c>
      <c r="L53" s="13" t="s">
        <v>23</v>
      </c>
      <c r="M53" s="11" t="s">
        <v>192</v>
      </c>
    </row>
    <row r="54" spans="1:13" ht="66" customHeight="1" x14ac:dyDescent="0.25">
      <c r="A54" s="9" t="s">
        <v>189</v>
      </c>
      <c r="B54" s="10">
        <v>1</v>
      </c>
      <c r="C54" s="10" t="s">
        <v>141</v>
      </c>
      <c r="D54" s="10" t="s">
        <v>193</v>
      </c>
      <c r="E54" s="10" t="s">
        <v>44</v>
      </c>
      <c r="F54" s="10">
        <v>2</v>
      </c>
      <c r="G54" s="11" t="s">
        <v>194</v>
      </c>
      <c r="H54" s="12">
        <v>46246</v>
      </c>
      <c r="I54" s="12">
        <v>46247</v>
      </c>
      <c r="J54" s="10">
        <v>2</v>
      </c>
      <c r="K54" s="10" t="s">
        <v>37</v>
      </c>
      <c r="L54" s="13" t="s">
        <v>23</v>
      </c>
      <c r="M54" s="11" t="s">
        <v>195</v>
      </c>
    </row>
    <row r="55" spans="1:13" ht="66" customHeight="1" x14ac:dyDescent="0.25">
      <c r="A55" s="9" t="s">
        <v>189</v>
      </c>
      <c r="B55" s="10">
        <v>1</v>
      </c>
      <c r="C55" s="10" t="s">
        <v>165</v>
      </c>
      <c r="D55" s="10" t="s">
        <v>155</v>
      </c>
      <c r="E55" s="10" t="s">
        <v>44</v>
      </c>
      <c r="F55" s="10">
        <v>3</v>
      </c>
      <c r="G55" s="11" t="s">
        <v>196</v>
      </c>
      <c r="H55" s="12">
        <v>46247</v>
      </c>
      <c r="I55" s="12">
        <v>46248</v>
      </c>
      <c r="J55" s="10">
        <v>2</v>
      </c>
      <c r="K55" s="10" t="s">
        <v>37</v>
      </c>
      <c r="L55" s="13" t="s">
        <v>23</v>
      </c>
      <c r="M55" s="11" t="s">
        <v>197</v>
      </c>
    </row>
    <row r="56" spans="1:13" ht="66" customHeight="1" x14ac:dyDescent="0.25">
      <c r="A56" s="9" t="s">
        <v>189</v>
      </c>
      <c r="B56" s="10">
        <v>1</v>
      </c>
      <c r="C56" s="10" t="s">
        <v>165</v>
      </c>
      <c r="D56" s="10" t="s">
        <v>158</v>
      </c>
      <c r="E56" s="10" t="s">
        <v>41</v>
      </c>
      <c r="F56" s="10">
        <v>5</v>
      </c>
      <c r="G56" s="11" t="s">
        <v>198</v>
      </c>
      <c r="H56" s="12">
        <v>46244</v>
      </c>
      <c r="I56" s="12">
        <v>46248</v>
      </c>
      <c r="J56" s="10">
        <v>4</v>
      </c>
      <c r="K56" s="10" t="s">
        <v>37</v>
      </c>
      <c r="L56" s="13" t="s">
        <v>23</v>
      </c>
      <c r="M56" s="11" t="s">
        <v>199</v>
      </c>
    </row>
    <row r="57" spans="1:13" ht="66" customHeight="1" x14ac:dyDescent="0.25">
      <c r="A57" s="9" t="s">
        <v>189</v>
      </c>
      <c r="B57" s="10">
        <v>1</v>
      </c>
      <c r="C57" s="10" t="s">
        <v>165</v>
      </c>
      <c r="D57" s="10" t="s">
        <v>200</v>
      </c>
      <c r="E57" s="10" t="s">
        <v>21</v>
      </c>
      <c r="F57" s="10">
        <v>3</v>
      </c>
      <c r="G57" s="11" t="s">
        <v>196</v>
      </c>
      <c r="H57" s="12">
        <v>46247</v>
      </c>
      <c r="I57" s="12">
        <v>46248</v>
      </c>
      <c r="J57" s="10">
        <v>2</v>
      </c>
      <c r="K57" s="10" t="s">
        <v>37</v>
      </c>
      <c r="L57" s="13" t="s">
        <v>23</v>
      </c>
      <c r="M57" s="11" t="s">
        <v>201</v>
      </c>
    </row>
    <row r="58" spans="1:13" ht="66" customHeight="1" x14ac:dyDescent="0.25">
      <c r="A58" s="9" t="s">
        <v>189</v>
      </c>
      <c r="B58" s="10">
        <v>1</v>
      </c>
      <c r="C58" s="10" t="s">
        <v>165</v>
      </c>
      <c r="D58" s="10" t="s">
        <v>169</v>
      </c>
      <c r="E58" s="10" t="s">
        <v>44</v>
      </c>
      <c r="F58" s="10">
        <v>3</v>
      </c>
      <c r="G58" s="11" t="s">
        <v>202</v>
      </c>
      <c r="H58" s="12">
        <v>46248</v>
      </c>
      <c r="I58" s="12">
        <v>46248</v>
      </c>
      <c r="J58" s="10">
        <v>1.5</v>
      </c>
      <c r="K58" s="10" t="s">
        <v>37</v>
      </c>
      <c r="L58" s="13" t="s">
        <v>23</v>
      </c>
      <c r="M58" s="11" t="s">
        <v>203</v>
      </c>
    </row>
    <row r="59" spans="1:13" ht="66" customHeight="1" x14ac:dyDescent="0.25">
      <c r="A59" s="9" t="s">
        <v>189</v>
      </c>
      <c r="B59" s="10">
        <v>1</v>
      </c>
      <c r="C59" s="10" t="s">
        <v>204</v>
      </c>
      <c r="D59" s="10" t="s">
        <v>205</v>
      </c>
      <c r="E59" s="10" t="s">
        <v>44</v>
      </c>
      <c r="F59" s="10">
        <v>3</v>
      </c>
      <c r="G59" s="11" t="s">
        <v>206</v>
      </c>
      <c r="H59" s="12">
        <v>46251</v>
      </c>
      <c r="I59" s="12">
        <v>46251</v>
      </c>
      <c r="J59" s="10">
        <v>1.5</v>
      </c>
      <c r="K59" s="10" t="s">
        <v>37</v>
      </c>
      <c r="L59" s="13" t="s">
        <v>23</v>
      </c>
      <c r="M59" s="11" t="s">
        <v>207</v>
      </c>
    </row>
    <row r="60" spans="1:13" ht="66" customHeight="1" x14ac:dyDescent="0.25">
      <c r="A60" s="9" t="s">
        <v>189</v>
      </c>
      <c r="B60" s="10">
        <v>2</v>
      </c>
      <c r="C60" s="10" t="s">
        <v>204</v>
      </c>
      <c r="D60" s="10" t="s">
        <v>175</v>
      </c>
      <c r="E60" s="10" t="s">
        <v>37</v>
      </c>
      <c r="F60" s="10">
        <v>3</v>
      </c>
      <c r="G60" s="11" t="s">
        <v>208</v>
      </c>
      <c r="H60" s="12">
        <v>46244</v>
      </c>
      <c r="I60" s="12">
        <v>46265</v>
      </c>
      <c r="J60" s="10">
        <v>2</v>
      </c>
      <c r="K60" s="10" t="s">
        <v>37</v>
      </c>
      <c r="L60" s="13" t="s">
        <v>23</v>
      </c>
      <c r="M60" s="11" t="s">
        <v>209</v>
      </c>
    </row>
    <row r="61" spans="1:13" ht="66" customHeight="1" x14ac:dyDescent="0.25">
      <c r="A61" s="9" t="s">
        <v>189</v>
      </c>
      <c r="B61" s="10">
        <v>2</v>
      </c>
      <c r="C61" s="10" t="s">
        <v>204</v>
      </c>
      <c r="D61" s="10" t="s">
        <v>178</v>
      </c>
      <c r="E61" s="10" t="s">
        <v>37</v>
      </c>
      <c r="F61" s="10">
        <v>3</v>
      </c>
      <c r="G61" s="11" t="s">
        <v>210</v>
      </c>
      <c r="H61" s="12">
        <v>46244</v>
      </c>
      <c r="I61" s="12">
        <v>46272</v>
      </c>
      <c r="J61" s="10">
        <v>1.5</v>
      </c>
      <c r="K61" s="10" t="s">
        <v>37</v>
      </c>
      <c r="L61" s="13" t="s">
        <v>23</v>
      </c>
      <c r="M61" s="11" t="s">
        <v>211</v>
      </c>
    </row>
    <row r="62" spans="1:13" ht="51" customHeight="1" x14ac:dyDescent="0.25">
      <c r="A62" s="9" t="s">
        <v>189</v>
      </c>
      <c r="B62" s="10">
        <v>1</v>
      </c>
      <c r="C62" s="10" t="s">
        <v>180</v>
      </c>
      <c r="D62" s="10" t="s">
        <v>181</v>
      </c>
      <c r="E62" s="10" t="s">
        <v>41</v>
      </c>
      <c r="F62" s="10">
        <v>10</v>
      </c>
      <c r="G62" s="11" t="s">
        <v>212</v>
      </c>
      <c r="H62" s="12">
        <v>46252</v>
      </c>
      <c r="I62" s="12">
        <v>46254</v>
      </c>
      <c r="J62" s="10">
        <v>6</v>
      </c>
      <c r="K62" s="10" t="s">
        <v>37</v>
      </c>
      <c r="L62" s="13" t="s">
        <v>23</v>
      </c>
      <c r="M62" s="11" t="s">
        <v>213</v>
      </c>
    </row>
    <row r="63" spans="1:13" ht="51" customHeight="1" x14ac:dyDescent="0.25">
      <c r="A63" s="9" t="s">
        <v>189</v>
      </c>
      <c r="B63" s="10">
        <v>1</v>
      </c>
      <c r="C63" s="10" t="s">
        <v>180</v>
      </c>
      <c r="D63" s="10" t="s">
        <v>181</v>
      </c>
      <c r="E63" s="10" t="s">
        <v>44</v>
      </c>
      <c r="F63" s="10">
        <v>10</v>
      </c>
      <c r="G63" s="11" t="s">
        <v>212</v>
      </c>
      <c r="H63" s="12">
        <v>46252</v>
      </c>
      <c r="I63" s="12">
        <v>46254</v>
      </c>
      <c r="J63" s="10">
        <v>6</v>
      </c>
      <c r="K63" s="10" t="s">
        <v>37</v>
      </c>
      <c r="L63" s="13" t="s">
        <v>23</v>
      </c>
      <c r="M63" s="11" t="s">
        <v>214</v>
      </c>
    </row>
    <row r="64" spans="1:13" ht="66" customHeight="1" x14ac:dyDescent="0.25">
      <c r="A64" s="9" t="s">
        <v>189</v>
      </c>
      <c r="B64" s="10">
        <v>1</v>
      </c>
      <c r="C64" s="10" t="s">
        <v>165</v>
      </c>
      <c r="D64" s="10" t="s">
        <v>215</v>
      </c>
      <c r="E64" s="10" t="s">
        <v>81</v>
      </c>
      <c r="F64" s="10">
        <v>3</v>
      </c>
      <c r="G64" s="11" t="s">
        <v>216</v>
      </c>
      <c r="H64" s="12">
        <v>46258</v>
      </c>
      <c r="I64" s="12">
        <v>46259</v>
      </c>
      <c r="J64" s="10">
        <v>2.5</v>
      </c>
      <c r="K64" s="10" t="s">
        <v>37</v>
      </c>
      <c r="L64" s="13" t="s">
        <v>23</v>
      </c>
      <c r="M64" s="11" t="s">
        <v>217</v>
      </c>
    </row>
    <row r="65" spans="1:13" ht="66" customHeight="1" x14ac:dyDescent="0.25">
      <c r="A65" s="9" t="s">
        <v>189</v>
      </c>
      <c r="B65" s="10">
        <v>1</v>
      </c>
      <c r="C65" s="10" t="s">
        <v>165</v>
      </c>
      <c r="D65" s="10" t="s">
        <v>218</v>
      </c>
      <c r="E65" s="10" t="s">
        <v>21</v>
      </c>
      <c r="F65" s="10">
        <v>3</v>
      </c>
      <c r="G65" s="11" t="s">
        <v>219</v>
      </c>
      <c r="H65" s="12">
        <v>46258</v>
      </c>
      <c r="I65" s="12">
        <v>46259</v>
      </c>
      <c r="J65" s="10">
        <v>2</v>
      </c>
      <c r="K65" s="10" t="s">
        <v>37</v>
      </c>
      <c r="L65" s="13" t="s">
        <v>23</v>
      </c>
      <c r="M65" s="11" t="s">
        <v>220</v>
      </c>
    </row>
    <row r="66" spans="1:13" ht="66" customHeight="1" x14ac:dyDescent="0.25">
      <c r="A66" s="9" t="s">
        <v>189</v>
      </c>
      <c r="B66" s="10">
        <v>1</v>
      </c>
      <c r="C66" s="10" t="s">
        <v>165</v>
      </c>
      <c r="D66" s="10" t="s">
        <v>221</v>
      </c>
      <c r="E66" s="10" t="s">
        <v>41</v>
      </c>
      <c r="F66" s="10">
        <v>3</v>
      </c>
      <c r="G66" s="11" t="s">
        <v>222</v>
      </c>
      <c r="H66" s="12">
        <v>46260</v>
      </c>
      <c r="I66" s="12">
        <v>46261</v>
      </c>
      <c r="J66" s="10">
        <v>2.5</v>
      </c>
      <c r="K66" s="10" t="s">
        <v>37</v>
      </c>
      <c r="L66" s="13" t="s">
        <v>23</v>
      </c>
      <c r="M66" s="11" t="s">
        <v>223</v>
      </c>
    </row>
    <row r="67" spans="1:13" ht="66" customHeight="1" x14ac:dyDescent="0.25">
      <c r="A67" s="9" t="s">
        <v>189</v>
      </c>
      <c r="B67" s="10">
        <v>1</v>
      </c>
      <c r="C67" s="10" t="s">
        <v>165</v>
      </c>
      <c r="D67" s="10" t="s">
        <v>224</v>
      </c>
      <c r="E67" s="10" t="s">
        <v>26</v>
      </c>
      <c r="F67" s="10">
        <v>3</v>
      </c>
      <c r="G67" s="11" t="s">
        <v>225</v>
      </c>
      <c r="H67" s="12">
        <v>46262</v>
      </c>
      <c r="I67" s="12">
        <v>46262</v>
      </c>
      <c r="J67" s="10">
        <v>2</v>
      </c>
      <c r="K67" s="10" t="s">
        <v>37</v>
      </c>
      <c r="L67" s="13" t="s">
        <v>23</v>
      </c>
      <c r="M67" s="11" t="s">
        <v>226</v>
      </c>
    </row>
    <row r="68" spans="1:13" ht="81" customHeight="1" x14ac:dyDescent="0.25">
      <c r="A68" s="9" t="s">
        <v>189</v>
      </c>
      <c r="B68" s="10">
        <v>1</v>
      </c>
      <c r="C68" s="10" t="s">
        <v>165</v>
      </c>
      <c r="D68" s="10" t="s">
        <v>227</v>
      </c>
      <c r="E68" s="10" t="s">
        <v>37</v>
      </c>
      <c r="F68" s="10">
        <v>3</v>
      </c>
      <c r="G68" s="11" t="s">
        <v>228</v>
      </c>
      <c r="H68" s="12">
        <v>46262</v>
      </c>
      <c r="I68" s="12">
        <v>46265</v>
      </c>
      <c r="J68" s="10">
        <v>2</v>
      </c>
      <c r="K68" s="10" t="s">
        <v>37</v>
      </c>
      <c r="L68" s="13" t="s">
        <v>23</v>
      </c>
      <c r="M68" s="11" t="s">
        <v>229</v>
      </c>
    </row>
    <row r="69" spans="1:13" ht="66" customHeight="1" x14ac:dyDescent="0.25">
      <c r="A69" s="9" t="s">
        <v>189</v>
      </c>
      <c r="B69" s="10">
        <v>1</v>
      </c>
      <c r="C69" s="10" t="s">
        <v>165</v>
      </c>
      <c r="D69" s="10" t="s">
        <v>230</v>
      </c>
      <c r="E69" s="10" t="s">
        <v>37</v>
      </c>
      <c r="F69" s="10">
        <v>3</v>
      </c>
      <c r="G69" s="11" t="s">
        <v>231</v>
      </c>
      <c r="H69" s="12">
        <v>46272</v>
      </c>
      <c r="I69" s="12">
        <v>46273</v>
      </c>
      <c r="J69" s="10">
        <v>2.5</v>
      </c>
      <c r="K69" s="10" t="s">
        <v>37</v>
      </c>
      <c r="L69" s="13" t="s">
        <v>23</v>
      </c>
      <c r="M69" s="11" t="s">
        <v>232</v>
      </c>
    </row>
    <row r="70" spans="1:13" ht="66" customHeight="1" x14ac:dyDescent="0.25">
      <c r="A70" s="9" t="s">
        <v>189</v>
      </c>
      <c r="B70" s="10">
        <v>1</v>
      </c>
      <c r="C70" s="10" t="s">
        <v>165</v>
      </c>
      <c r="D70" s="10" t="s">
        <v>233</v>
      </c>
      <c r="E70" s="10" t="s">
        <v>81</v>
      </c>
      <c r="F70" s="10">
        <v>3</v>
      </c>
      <c r="G70" s="11" t="s">
        <v>234</v>
      </c>
      <c r="H70" s="12">
        <v>46266</v>
      </c>
      <c r="I70" s="12">
        <v>46267</v>
      </c>
      <c r="J70" s="10">
        <v>2.5</v>
      </c>
      <c r="K70" s="10" t="s">
        <v>37</v>
      </c>
      <c r="L70" s="13" t="s">
        <v>23</v>
      </c>
      <c r="M70" s="11" t="s">
        <v>235</v>
      </c>
    </row>
    <row r="71" spans="1:13" ht="66" customHeight="1" x14ac:dyDescent="0.25">
      <c r="A71" s="9" t="s">
        <v>189</v>
      </c>
      <c r="B71" s="10">
        <v>1</v>
      </c>
      <c r="C71" s="10" t="s">
        <v>165</v>
      </c>
      <c r="D71" s="10" t="s">
        <v>236</v>
      </c>
      <c r="E71" s="10" t="s">
        <v>21</v>
      </c>
      <c r="F71" s="10">
        <v>3</v>
      </c>
      <c r="G71" s="11" t="s">
        <v>237</v>
      </c>
      <c r="H71" s="12">
        <v>46266</v>
      </c>
      <c r="I71" s="12">
        <v>46267</v>
      </c>
      <c r="J71" s="10">
        <v>2</v>
      </c>
      <c r="K71" s="10" t="s">
        <v>37</v>
      </c>
      <c r="L71" s="13" t="s">
        <v>23</v>
      </c>
      <c r="M71" s="11" t="s">
        <v>238</v>
      </c>
    </row>
    <row r="72" spans="1:13" ht="66" customHeight="1" x14ac:dyDescent="0.25">
      <c r="A72" s="9" t="s">
        <v>189</v>
      </c>
      <c r="B72" s="10">
        <v>1</v>
      </c>
      <c r="C72" s="10" t="s">
        <v>165</v>
      </c>
      <c r="D72" s="10" t="s">
        <v>239</v>
      </c>
      <c r="E72" s="10" t="s">
        <v>37</v>
      </c>
      <c r="F72" s="10">
        <v>3</v>
      </c>
      <c r="G72" s="11" t="s">
        <v>240</v>
      </c>
      <c r="H72" s="12">
        <v>46268</v>
      </c>
      <c r="I72" s="12">
        <v>46269</v>
      </c>
      <c r="J72" s="10">
        <v>2</v>
      </c>
      <c r="K72" s="10" t="s">
        <v>37</v>
      </c>
      <c r="L72" s="13" t="s">
        <v>23</v>
      </c>
      <c r="M72" s="11" t="s">
        <v>241</v>
      </c>
    </row>
    <row r="73" spans="1:13" ht="66" customHeight="1" x14ac:dyDescent="0.25">
      <c r="A73" s="9" t="s">
        <v>189</v>
      </c>
      <c r="B73" s="10">
        <v>1</v>
      </c>
      <c r="C73" s="10" t="s">
        <v>165</v>
      </c>
      <c r="D73" s="10" t="s">
        <v>239</v>
      </c>
      <c r="E73" s="10" t="s">
        <v>41</v>
      </c>
      <c r="F73" s="10">
        <v>3</v>
      </c>
      <c r="G73" s="11" t="s">
        <v>240</v>
      </c>
      <c r="H73" s="12">
        <v>46268</v>
      </c>
      <c r="I73" s="12">
        <v>46269</v>
      </c>
      <c r="J73" s="10">
        <v>2</v>
      </c>
      <c r="K73" s="10" t="s">
        <v>37</v>
      </c>
      <c r="L73" s="13" t="s">
        <v>23</v>
      </c>
      <c r="M73" s="11" t="s">
        <v>242</v>
      </c>
    </row>
    <row r="74" spans="1:13" ht="81" customHeight="1" x14ac:dyDescent="0.25">
      <c r="A74" s="9" t="s">
        <v>189</v>
      </c>
      <c r="B74" s="10">
        <v>1</v>
      </c>
      <c r="C74" s="10" t="s">
        <v>165</v>
      </c>
      <c r="D74" s="10" t="s">
        <v>243</v>
      </c>
      <c r="E74" s="10" t="s">
        <v>41</v>
      </c>
      <c r="F74" s="10">
        <v>3</v>
      </c>
      <c r="G74" s="11" t="s">
        <v>244</v>
      </c>
      <c r="H74" s="12">
        <v>46269</v>
      </c>
      <c r="I74" s="12">
        <v>46272</v>
      </c>
      <c r="J74" s="10">
        <v>2.5</v>
      </c>
      <c r="K74" s="10" t="s">
        <v>37</v>
      </c>
      <c r="L74" s="13" t="s">
        <v>23</v>
      </c>
      <c r="M74" s="11" t="s">
        <v>245</v>
      </c>
    </row>
    <row r="75" spans="1:13" ht="66" customHeight="1" x14ac:dyDescent="0.25">
      <c r="A75" s="9" t="s">
        <v>189</v>
      </c>
      <c r="B75" s="10">
        <v>1</v>
      </c>
      <c r="C75" s="10" t="s">
        <v>165</v>
      </c>
      <c r="D75" s="10" t="s">
        <v>243</v>
      </c>
      <c r="E75" s="10" t="s">
        <v>37</v>
      </c>
      <c r="F75" s="10">
        <v>3</v>
      </c>
      <c r="G75" s="11" t="s">
        <v>246</v>
      </c>
      <c r="H75" s="12">
        <v>46269</v>
      </c>
      <c r="I75" s="12">
        <v>46272</v>
      </c>
      <c r="J75" s="10">
        <v>2</v>
      </c>
      <c r="K75" s="10" t="s">
        <v>37</v>
      </c>
      <c r="L75" s="13" t="s">
        <v>23</v>
      </c>
      <c r="M75" s="11" t="s">
        <v>247</v>
      </c>
    </row>
    <row r="76" spans="1:13" ht="66" customHeight="1" x14ac:dyDescent="0.25">
      <c r="A76" s="9" t="s">
        <v>189</v>
      </c>
      <c r="B76" s="10">
        <v>1</v>
      </c>
      <c r="C76" s="10" t="s">
        <v>165</v>
      </c>
      <c r="D76" s="10" t="s">
        <v>248</v>
      </c>
      <c r="E76" s="10" t="s">
        <v>37</v>
      </c>
      <c r="F76" s="10">
        <v>3</v>
      </c>
      <c r="G76" s="11" t="s">
        <v>249</v>
      </c>
      <c r="H76" s="12">
        <v>46272</v>
      </c>
      <c r="I76" s="12">
        <v>46273</v>
      </c>
      <c r="J76" s="10">
        <v>2</v>
      </c>
      <c r="K76" s="10" t="s">
        <v>37</v>
      </c>
      <c r="L76" s="13" t="s">
        <v>23</v>
      </c>
      <c r="M76" s="11" t="s">
        <v>250</v>
      </c>
    </row>
    <row r="77" spans="1:13" ht="81" customHeight="1" x14ac:dyDescent="0.25">
      <c r="A77" s="9" t="s">
        <v>189</v>
      </c>
      <c r="B77" s="10">
        <v>1</v>
      </c>
      <c r="C77" s="10" t="s">
        <v>165</v>
      </c>
      <c r="D77" s="10" t="s">
        <v>251</v>
      </c>
      <c r="E77" s="10" t="s">
        <v>37</v>
      </c>
      <c r="F77" s="10">
        <v>3</v>
      </c>
      <c r="G77" s="11" t="s">
        <v>252</v>
      </c>
      <c r="H77" s="12">
        <v>46274</v>
      </c>
      <c r="I77" s="12">
        <v>46275</v>
      </c>
      <c r="J77" s="10">
        <v>2</v>
      </c>
      <c r="K77" s="10" t="s">
        <v>37</v>
      </c>
      <c r="L77" s="13" t="s">
        <v>23</v>
      </c>
      <c r="M77" s="11" t="s">
        <v>253</v>
      </c>
    </row>
  </sheetData>
  <autoFilter ref="A3:M77" xr:uid="{00000000-0009-0000-0000-000000000000}"/>
  <mergeCells count="4">
    <mergeCell ref="A1:M1"/>
    <mergeCell ref="A2:F2"/>
    <mergeCell ref="H2:J2"/>
    <mergeCell ref="K2:M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showGridLines="0" topLeftCell="A21" zoomScaleNormal="100" workbookViewId="0">
      <selection sqref="A1:H1"/>
    </sheetView>
  </sheetViews>
  <sheetFormatPr baseColWidth="10" defaultColWidth="14.42578125" defaultRowHeight="15" x14ac:dyDescent="0.25"/>
  <cols>
    <col min="1" max="1" width="6" customWidth="1"/>
    <col min="2" max="2" width="12" customWidth="1"/>
    <col min="3" max="8" width="16" customWidth="1"/>
    <col min="9" max="9" width="3" customWidth="1"/>
    <col min="10" max="10" width="24" customWidth="1"/>
    <col min="11" max="11" width="10" customWidth="1"/>
    <col min="12" max="26" width="8.7109375" customWidth="1"/>
  </cols>
  <sheetData>
    <row r="1" spans="1:11" ht="17.25" customHeight="1" x14ac:dyDescent="0.25">
      <c r="A1" s="2" t="s">
        <v>254</v>
      </c>
      <c r="B1" s="2"/>
      <c r="C1" s="2"/>
      <c r="D1" s="2"/>
      <c r="E1" s="2"/>
      <c r="F1" s="2"/>
      <c r="G1" s="2"/>
      <c r="H1" s="2"/>
      <c r="I1" s="14"/>
      <c r="J1" s="14"/>
      <c r="K1" s="14"/>
    </row>
    <row r="2" spans="1:11" ht="15" customHeight="1" x14ac:dyDescent="0.25">
      <c r="A2" s="1" t="s">
        <v>255</v>
      </c>
      <c r="B2" s="1"/>
      <c r="C2" s="1"/>
      <c r="D2" s="1"/>
      <c r="E2" s="1"/>
      <c r="F2" s="1"/>
      <c r="G2" s="1"/>
      <c r="H2" s="1"/>
      <c r="I2" s="14"/>
      <c r="J2" s="14"/>
      <c r="K2" s="14"/>
    </row>
    <row r="3" spans="1:1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ht="26.25" customHeight="1" x14ac:dyDescent="0.25">
      <c r="A4" s="15" t="s">
        <v>256</v>
      </c>
      <c r="B4" s="15" t="s">
        <v>257</v>
      </c>
      <c r="C4" s="15" t="s">
        <v>258</v>
      </c>
      <c r="D4" s="15" t="s">
        <v>259</v>
      </c>
      <c r="E4" s="15" t="s">
        <v>260</v>
      </c>
      <c r="F4" s="15" t="s">
        <v>261</v>
      </c>
      <c r="G4" s="15" t="s">
        <v>262</v>
      </c>
      <c r="H4" s="15" t="s">
        <v>263</v>
      </c>
      <c r="I4" s="14"/>
      <c r="J4" s="16" t="s">
        <v>264</v>
      </c>
      <c r="K4" s="17">
        <f>SUM(Seguimiento_Sprint!F53:F77)</f>
        <v>89</v>
      </c>
    </row>
    <row r="5" spans="1:11" ht="15" customHeight="1" x14ac:dyDescent="0.25">
      <c r="A5" s="18">
        <v>1</v>
      </c>
      <c r="B5" s="18" t="s">
        <v>265</v>
      </c>
      <c r="C5" s="19">
        <v>4.4166999999999996</v>
      </c>
      <c r="D5" s="19">
        <v>3.5</v>
      </c>
      <c r="E5" s="19">
        <f>C5</f>
        <v>4.4166999999999996</v>
      </c>
      <c r="F5" s="19">
        <f>D5</f>
        <v>3.5</v>
      </c>
      <c r="G5" s="19">
        <f t="shared" ref="G5:G36" si="0">$K$4-E5</f>
        <v>84.583299999999994</v>
      </c>
      <c r="H5" s="19">
        <f t="shared" ref="H5:H36" si="1">$K$4-F5</f>
        <v>85.5</v>
      </c>
      <c r="I5" s="14"/>
      <c r="J5" s="14"/>
      <c r="K5" s="14"/>
    </row>
    <row r="6" spans="1:11" ht="15" customHeight="1" x14ac:dyDescent="0.25">
      <c r="A6" s="18">
        <v>2</v>
      </c>
      <c r="B6" s="18" t="s">
        <v>266</v>
      </c>
      <c r="C6" s="19">
        <v>1</v>
      </c>
      <c r="D6" s="19">
        <v>1</v>
      </c>
      <c r="E6" s="19">
        <f t="shared" ref="E6:E36" si="2">E5+C6</f>
        <v>5.4166999999999996</v>
      </c>
      <c r="F6" s="19">
        <f t="shared" ref="F6:F36" si="3">F5+D6</f>
        <v>4.5</v>
      </c>
      <c r="G6" s="19">
        <f t="shared" si="0"/>
        <v>83.583299999999994</v>
      </c>
      <c r="H6" s="19">
        <f t="shared" si="1"/>
        <v>84.5</v>
      </c>
      <c r="I6" s="14"/>
      <c r="J6" s="14"/>
      <c r="K6" s="14"/>
    </row>
    <row r="7" spans="1:11" ht="15" customHeight="1" x14ac:dyDescent="0.25">
      <c r="A7" s="18">
        <v>3</v>
      </c>
      <c r="B7" s="18" t="s">
        <v>267</v>
      </c>
      <c r="C7" s="19">
        <v>2.6667000000000001</v>
      </c>
      <c r="D7" s="19">
        <v>2.5</v>
      </c>
      <c r="E7" s="19">
        <f t="shared" si="2"/>
        <v>8.0833999999999993</v>
      </c>
      <c r="F7" s="19">
        <f t="shared" si="3"/>
        <v>7</v>
      </c>
      <c r="G7" s="19">
        <f t="shared" si="0"/>
        <v>80.916600000000003</v>
      </c>
      <c r="H7" s="19">
        <f t="shared" si="1"/>
        <v>82</v>
      </c>
      <c r="I7" s="14"/>
      <c r="J7" s="14"/>
      <c r="K7" s="14"/>
    </row>
    <row r="8" spans="1:11" ht="15" customHeight="1" x14ac:dyDescent="0.25">
      <c r="A8" s="18">
        <v>4</v>
      </c>
      <c r="B8" s="18" t="s">
        <v>268</v>
      </c>
      <c r="C8" s="19">
        <v>4</v>
      </c>
      <c r="D8" s="19">
        <v>3</v>
      </c>
      <c r="E8" s="19">
        <f t="shared" si="2"/>
        <v>12.083399999999999</v>
      </c>
      <c r="F8" s="19">
        <f t="shared" si="3"/>
        <v>10</v>
      </c>
      <c r="G8" s="19">
        <f t="shared" si="0"/>
        <v>76.916600000000003</v>
      </c>
      <c r="H8" s="19">
        <f t="shared" si="1"/>
        <v>79</v>
      </c>
      <c r="I8" s="14"/>
      <c r="J8" s="14"/>
      <c r="K8" s="14"/>
    </row>
    <row r="9" spans="1:11" ht="15" customHeight="1" x14ac:dyDescent="0.25">
      <c r="A9" s="18">
        <v>5</v>
      </c>
      <c r="B9" s="18" t="s">
        <v>269</v>
      </c>
      <c r="C9" s="19">
        <v>7.6666999999999996</v>
      </c>
      <c r="D9" s="19">
        <v>4.5</v>
      </c>
      <c r="E9" s="19">
        <f t="shared" si="2"/>
        <v>19.7501</v>
      </c>
      <c r="F9" s="19">
        <f t="shared" si="3"/>
        <v>14.5</v>
      </c>
      <c r="G9" s="19">
        <f t="shared" si="0"/>
        <v>69.249899999999997</v>
      </c>
      <c r="H9" s="19">
        <f t="shared" si="1"/>
        <v>74.5</v>
      </c>
      <c r="I9" s="14"/>
      <c r="J9" s="14"/>
      <c r="K9" s="14"/>
    </row>
    <row r="10" spans="1:11" ht="15" customHeight="1" x14ac:dyDescent="0.25">
      <c r="A10" s="18">
        <v>6</v>
      </c>
      <c r="B10" s="18" t="s">
        <v>270</v>
      </c>
      <c r="C10" s="19">
        <v>0</v>
      </c>
      <c r="D10" s="19">
        <v>0</v>
      </c>
      <c r="E10" s="19">
        <f t="shared" si="2"/>
        <v>19.7501</v>
      </c>
      <c r="F10" s="19">
        <f t="shared" si="3"/>
        <v>14.5</v>
      </c>
      <c r="G10" s="19">
        <f t="shared" si="0"/>
        <v>69.249899999999997</v>
      </c>
      <c r="H10" s="19">
        <f t="shared" si="1"/>
        <v>74.5</v>
      </c>
      <c r="I10" s="14"/>
      <c r="J10" s="14"/>
      <c r="K10" s="14"/>
    </row>
    <row r="11" spans="1:11" ht="15" customHeight="1" x14ac:dyDescent="0.25">
      <c r="A11" s="18">
        <v>7</v>
      </c>
      <c r="B11" s="18" t="s">
        <v>271</v>
      </c>
      <c r="C11" s="19">
        <v>0</v>
      </c>
      <c r="D11" s="19">
        <v>0</v>
      </c>
      <c r="E11" s="19">
        <f t="shared" si="2"/>
        <v>19.7501</v>
      </c>
      <c r="F11" s="19">
        <f t="shared" si="3"/>
        <v>14.5</v>
      </c>
      <c r="G11" s="19">
        <f t="shared" si="0"/>
        <v>69.249899999999997</v>
      </c>
      <c r="H11" s="19">
        <f t="shared" si="1"/>
        <v>74.5</v>
      </c>
      <c r="I11" s="14"/>
      <c r="J11" s="14"/>
      <c r="K11" s="14"/>
    </row>
    <row r="12" spans="1:11" ht="15" customHeight="1" x14ac:dyDescent="0.25">
      <c r="A12" s="18">
        <v>8</v>
      </c>
      <c r="B12" s="18" t="s">
        <v>272</v>
      </c>
      <c r="C12" s="19">
        <v>3.75</v>
      </c>
      <c r="D12" s="19">
        <v>2</v>
      </c>
      <c r="E12" s="19">
        <f t="shared" si="2"/>
        <v>23.5001</v>
      </c>
      <c r="F12" s="19">
        <f t="shared" si="3"/>
        <v>16.5</v>
      </c>
      <c r="G12" s="19">
        <f t="shared" si="0"/>
        <v>65.499899999999997</v>
      </c>
      <c r="H12" s="19">
        <f t="shared" si="1"/>
        <v>72.5</v>
      </c>
      <c r="I12" s="14"/>
      <c r="J12" s="14"/>
      <c r="K12" s="14"/>
    </row>
    <row r="13" spans="1:11" ht="15" customHeight="1" x14ac:dyDescent="0.25">
      <c r="A13" s="18">
        <v>9</v>
      </c>
      <c r="B13" s="18" t="s">
        <v>273</v>
      </c>
      <c r="C13" s="19">
        <v>6.6666999999999996</v>
      </c>
      <c r="D13" s="19">
        <v>4</v>
      </c>
      <c r="E13" s="19">
        <f t="shared" si="2"/>
        <v>30.166799999999999</v>
      </c>
      <c r="F13" s="19">
        <f t="shared" si="3"/>
        <v>20.5</v>
      </c>
      <c r="G13" s="19">
        <f t="shared" si="0"/>
        <v>58.833200000000005</v>
      </c>
      <c r="H13" s="19">
        <f t="shared" si="1"/>
        <v>68.5</v>
      </c>
      <c r="I13" s="14"/>
      <c r="J13" s="14"/>
      <c r="K13" s="14"/>
    </row>
    <row r="14" spans="1:11" ht="15" customHeight="1" x14ac:dyDescent="0.25">
      <c r="A14" s="18">
        <v>10</v>
      </c>
      <c r="B14" s="18" t="s">
        <v>274</v>
      </c>
      <c r="C14" s="19">
        <v>6.6666999999999996</v>
      </c>
      <c r="D14" s="19">
        <v>4</v>
      </c>
      <c r="E14" s="19">
        <f t="shared" si="2"/>
        <v>36.833500000000001</v>
      </c>
      <c r="F14" s="19">
        <f t="shared" si="3"/>
        <v>24.5</v>
      </c>
      <c r="G14" s="19">
        <f t="shared" si="0"/>
        <v>52.166499999999999</v>
      </c>
      <c r="H14" s="19">
        <f t="shared" si="1"/>
        <v>64.5</v>
      </c>
      <c r="I14" s="14"/>
      <c r="J14" s="14"/>
      <c r="K14" s="14"/>
    </row>
    <row r="15" spans="1:11" ht="15" customHeight="1" x14ac:dyDescent="0.25">
      <c r="A15" s="18">
        <v>11</v>
      </c>
      <c r="B15" s="18" t="s">
        <v>275</v>
      </c>
      <c r="C15" s="19">
        <v>6.6666999999999996</v>
      </c>
      <c r="D15" s="19">
        <v>4</v>
      </c>
      <c r="E15" s="19">
        <f t="shared" si="2"/>
        <v>43.5002</v>
      </c>
      <c r="F15" s="19">
        <f t="shared" si="3"/>
        <v>28.5</v>
      </c>
      <c r="G15" s="19">
        <f t="shared" si="0"/>
        <v>45.4998</v>
      </c>
      <c r="H15" s="19">
        <f t="shared" si="1"/>
        <v>60.5</v>
      </c>
      <c r="I15" s="14"/>
      <c r="J15" s="14"/>
      <c r="K15" s="14"/>
    </row>
    <row r="16" spans="1:11" ht="15" customHeight="1" x14ac:dyDescent="0.25">
      <c r="A16" s="18">
        <v>12</v>
      </c>
      <c r="B16" s="18" t="s">
        <v>276</v>
      </c>
      <c r="C16" s="19">
        <v>0</v>
      </c>
      <c r="D16" s="19">
        <v>0</v>
      </c>
      <c r="E16" s="19">
        <f t="shared" si="2"/>
        <v>43.5002</v>
      </c>
      <c r="F16" s="19">
        <f t="shared" si="3"/>
        <v>28.5</v>
      </c>
      <c r="G16" s="19">
        <f t="shared" si="0"/>
        <v>45.4998</v>
      </c>
      <c r="H16" s="19">
        <f t="shared" si="1"/>
        <v>60.5</v>
      </c>
      <c r="I16" s="14"/>
      <c r="J16" s="14"/>
      <c r="K16" s="14"/>
    </row>
    <row r="17" spans="1:11" ht="15" customHeight="1" x14ac:dyDescent="0.25">
      <c r="A17" s="18">
        <v>13</v>
      </c>
      <c r="B17" s="18" t="s">
        <v>277</v>
      </c>
      <c r="C17" s="19">
        <v>0</v>
      </c>
      <c r="D17" s="19">
        <v>0</v>
      </c>
      <c r="E17" s="19">
        <f t="shared" si="2"/>
        <v>43.5002</v>
      </c>
      <c r="F17" s="19">
        <f t="shared" si="3"/>
        <v>28.5</v>
      </c>
      <c r="G17" s="19">
        <f t="shared" si="0"/>
        <v>45.4998</v>
      </c>
      <c r="H17" s="19">
        <f t="shared" si="1"/>
        <v>60.5</v>
      </c>
      <c r="I17" s="14"/>
      <c r="J17" s="14"/>
      <c r="K17" s="14"/>
    </row>
    <row r="18" spans="1:11" ht="15" customHeight="1" x14ac:dyDescent="0.25">
      <c r="A18" s="18">
        <v>14</v>
      </c>
      <c r="B18" s="18" t="s">
        <v>278</v>
      </c>
      <c r="C18" s="19">
        <v>0</v>
      </c>
      <c r="D18" s="19">
        <v>0</v>
      </c>
      <c r="E18" s="19">
        <f t="shared" si="2"/>
        <v>43.5002</v>
      </c>
      <c r="F18" s="19">
        <f t="shared" si="3"/>
        <v>28.5</v>
      </c>
      <c r="G18" s="19">
        <f t="shared" si="0"/>
        <v>45.4998</v>
      </c>
      <c r="H18" s="19">
        <f t="shared" si="1"/>
        <v>60.5</v>
      </c>
      <c r="I18" s="14"/>
      <c r="J18" s="14"/>
      <c r="K18" s="14"/>
    </row>
    <row r="19" spans="1:11" ht="15" customHeight="1" x14ac:dyDescent="0.25">
      <c r="A19" s="18">
        <v>15</v>
      </c>
      <c r="B19" s="18" t="s">
        <v>279</v>
      </c>
      <c r="C19" s="19">
        <v>4.75</v>
      </c>
      <c r="D19" s="19">
        <v>3.5</v>
      </c>
      <c r="E19" s="19">
        <f t="shared" si="2"/>
        <v>48.2502</v>
      </c>
      <c r="F19" s="19">
        <f t="shared" si="3"/>
        <v>32</v>
      </c>
      <c r="G19" s="19">
        <f t="shared" si="0"/>
        <v>40.7498</v>
      </c>
      <c r="H19" s="19">
        <f t="shared" si="1"/>
        <v>57</v>
      </c>
      <c r="I19" s="14"/>
      <c r="J19" s="14"/>
      <c r="K19" s="14"/>
    </row>
    <row r="20" spans="1:11" ht="15" customHeight="1" x14ac:dyDescent="0.25">
      <c r="A20" s="18">
        <v>16</v>
      </c>
      <c r="B20" s="18" t="s">
        <v>280</v>
      </c>
      <c r="C20" s="19">
        <v>3</v>
      </c>
      <c r="D20" s="19">
        <v>2</v>
      </c>
      <c r="E20" s="19">
        <f t="shared" si="2"/>
        <v>51.2502</v>
      </c>
      <c r="F20" s="19">
        <f t="shared" si="3"/>
        <v>34</v>
      </c>
      <c r="G20" s="19">
        <f t="shared" si="0"/>
        <v>37.7498</v>
      </c>
      <c r="H20" s="19">
        <f t="shared" si="1"/>
        <v>55</v>
      </c>
      <c r="I20" s="14"/>
      <c r="J20" s="14"/>
      <c r="K20" s="14"/>
    </row>
    <row r="21" spans="1:11" ht="15" customHeight="1" x14ac:dyDescent="0.25">
      <c r="A21" s="18">
        <v>17</v>
      </c>
      <c r="B21" s="18" t="s">
        <v>281</v>
      </c>
      <c r="C21" s="19">
        <v>1.5</v>
      </c>
      <c r="D21" s="19">
        <v>1.5</v>
      </c>
      <c r="E21" s="19">
        <f t="shared" si="2"/>
        <v>52.7502</v>
      </c>
      <c r="F21" s="19">
        <f t="shared" si="3"/>
        <v>35.5</v>
      </c>
      <c r="G21" s="19">
        <f t="shared" si="0"/>
        <v>36.2498</v>
      </c>
      <c r="H21" s="19">
        <f t="shared" si="1"/>
        <v>53.5</v>
      </c>
      <c r="I21" s="14"/>
      <c r="J21" s="14"/>
      <c r="K21" s="14"/>
    </row>
    <row r="22" spans="1:11" ht="15" customHeight="1" x14ac:dyDescent="0.25">
      <c r="A22" s="18">
        <v>18</v>
      </c>
      <c r="B22" s="18" t="s">
        <v>282</v>
      </c>
      <c r="C22" s="19">
        <v>1.5</v>
      </c>
      <c r="D22" s="19">
        <v>1</v>
      </c>
      <c r="E22" s="19">
        <f t="shared" si="2"/>
        <v>54.2502</v>
      </c>
      <c r="F22" s="19">
        <f t="shared" si="3"/>
        <v>36.5</v>
      </c>
      <c r="G22" s="19">
        <f t="shared" si="0"/>
        <v>34.7498</v>
      </c>
      <c r="H22" s="19">
        <f t="shared" si="1"/>
        <v>52.5</v>
      </c>
      <c r="I22" s="14"/>
      <c r="J22" s="14"/>
      <c r="K22" s="14"/>
    </row>
    <row r="23" spans="1:11" ht="15" customHeight="1" x14ac:dyDescent="0.25">
      <c r="A23" s="18">
        <v>19</v>
      </c>
      <c r="B23" s="18" t="s">
        <v>283</v>
      </c>
      <c r="C23" s="19">
        <v>4.5</v>
      </c>
      <c r="D23" s="19">
        <v>3</v>
      </c>
      <c r="E23" s="19">
        <f t="shared" si="2"/>
        <v>58.7502</v>
      </c>
      <c r="F23" s="19">
        <f t="shared" si="3"/>
        <v>39.5</v>
      </c>
      <c r="G23" s="19">
        <f t="shared" si="0"/>
        <v>30.2498</v>
      </c>
      <c r="H23" s="19">
        <f t="shared" si="1"/>
        <v>49.5</v>
      </c>
      <c r="I23" s="14"/>
      <c r="J23" s="14"/>
      <c r="K23" s="14"/>
    </row>
    <row r="24" spans="1:11" ht="15" customHeight="1" x14ac:dyDescent="0.25">
      <c r="A24" s="18">
        <v>20</v>
      </c>
      <c r="B24" s="18" t="s">
        <v>284</v>
      </c>
      <c r="C24" s="19">
        <v>0</v>
      </c>
      <c r="D24" s="19">
        <v>0</v>
      </c>
      <c r="E24" s="19">
        <f t="shared" si="2"/>
        <v>58.7502</v>
      </c>
      <c r="F24" s="19">
        <f t="shared" si="3"/>
        <v>39.5</v>
      </c>
      <c r="G24" s="19">
        <f t="shared" si="0"/>
        <v>30.2498</v>
      </c>
      <c r="H24" s="19">
        <f t="shared" si="1"/>
        <v>49.5</v>
      </c>
      <c r="I24" s="14"/>
      <c r="J24" s="14"/>
      <c r="K24" s="14"/>
    </row>
    <row r="25" spans="1:11" ht="15" customHeight="1" x14ac:dyDescent="0.25">
      <c r="A25" s="18">
        <v>21</v>
      </c>
      <c r="B25" s="18" t="s">
        <v>285</v>
      </c>
      <c r="C25" s="19">
        <v>0</v>
      </c>
      <c r="D25" s="19">
        <v>0</v>
      </c>
      <c r="E25" s="19">
        <f t="shared" si="2"/>
        <v>58.7502</v>
      </c>
      <c r="F25" s="19">
        <f t="shared" si="3"/>
        <v>39.5</v>
      </c>
      <c r="G25" s="19">
        <f t="shared" si="0"/>
        <v>30.2498</v>
      </c>
      <c r="H25" s="19">
        <f t="shared" si="1"/>
        <v>49.5</v>
      </c>
      <c r="I25" s="14"/>
      <c r="J25" s="14"/>
      <c r="K25" s="14"/>
    </row>
    <row r="26" spans="1:11" ht="15" customHeight="1" x14ac:dyDescent="0.25">
      <c r="A26" s="18">
        <v>22</v>
      </c>
      <c r="B26" s="18" t="s">
        <v>286</v>
      </c>
      <c r="C26" s="19">
        <v>2.25</v>
      </c>
      <c r="D26" s="19">
        <v>1.5</v>
      </c>
      <c r="E26" s="19">
        <f t="shared" si="2"/>
        <v>61.0002</v>
      </c>
      <c r="F26" s="19">
        <f t="shared" si="3"/>
        <v>41</v>
      </c>
      <c r="G26" s="19">
        <f t="shared" si="0"/>
        <v>27.9998</v>
      </c>
      <c r="H26" s="19">
        <f t="shared" si="1"/>
        <v>48</v>
      </c>
      <c r="I26" s="14"/>
      <c r="J26" s="14"/>
      <c r="K26" s="14"/>
    </row>
    <row r="27" spans="1:11" ht="15" customHeight="1" x14ac:dyDescent="0.25">
      <c r="A27" s="18">
        <v>23</v>
      </c>
      <c r="B27" s="18" t="s">
        <v>287</v>
      </c>
      <c r="C27" s="19">
        <v>3</v>
      </c>
      <c r="D27" s="19">
        <v>2.5</v>
      </c>
      <c r="E27" s="19">
        <f t="shared" si="2"/>
        <v>64.000200000000007</v>
      </c>
      <c r="F27" s="19">
        <f t="shared" si="3"/>
        <v>43.5</v>
      </c>
      <c r="G27" s="19">
        <f t="shared" si="0"/>
        <v>24.999799999999993</v>
      </c>
      <c r="H27" s="19">
        <f t="shared" si="1"/>
        <v>45.5</v>
      </c>
      <c r="I27" s="14"/>
      <c r="J27" s="14"/>
      <c r="K27" s="14"/>
    </row>
    <row r="28" spans="1:11" ht="15" customHeight="1" x14ac:dyDescent="0.25">
      <c r="A28" s="18">
        <v>24</v>
      </c>
      <c r="B28" s="18" t="s">
        <v>288</v>
      </c>
      <c r="C28" s="19">
        <v>3</v>
      </c>
      <c r="D28" s="19">
        <v>2</v>
      </c>
      <c r="E28" s="19">
        <f t="shared" si="2"/>
        <v>67.000200000000007</v>
      </c>
      <c r="F28" s="19">
        <f t="shared" si="3"/>
        <v>45.5</v>
      </c>
      <c r="G28" s="19">
        <f t="shared" si="0"/>
        <v>21.999799999999993</v>
      </c>
      <c r="H28" s="19">
        <f t="shared" si="1"/>
        <v>43.5</v>
      </c>
      <c r="I28" s="14"/>
      <c r="J28" s="14"/>
      <c r="K28" s="14"/>
    </row>
    <row r="29" spans="1:11" ht="15" customHeight="1" x14ac:dyDescent="0.25">
      <c r="A29" s="18">
        <v>25</v>
      </c>
      <c r="B29" s="18" t="s">
        <v>289</v>
      </c>
      <c r="C29" s="19">
        <v>3</v>
      </c>
      <c r="D29" s="19">
        <v>2</v>
      </c>
      <c r="E29" s="19">
        <f t="shared" si="2"/>
        <v>70.000200000000007</v>
      </c>
      <c r="F29" s="19">
        <f t="shared" si="3"/>
        <v>47.5</v>
      </c>
      <c r="G29" s="19">
        <f t="shared" si="0"/>
        <v>18.999799999999993</v>
      </c>
      <c r="H29" s="19">
        <f t="shared" si="1"/>
        <v>41.5</v>
      </c>
      <c r="I29" s="14"/>
      <c r="J29" s="14"/>
      <c r="K29" s="14"/>
    </row>
    <row r="30" spans="1:11" ht="15" customHeight="1" x14ac:dyDescent="0.25">
      <c r="A30" s="18">
        <v>26</v>
      </c>
      <c r="B30" s="18" t="s">
        <v>290</v>
      </c>
      <c r="C30" s="19">
        <v>6</v>
      </c>
      <c r="D30" s="19">
        <v>4.5</v>
      </c>
      <c r="E30" s="19">
        <f t="shared" si="2"/>
        <v>76.000200000000007</v>
      </c>
      <c r="F30" s="19">
        <f t="shared" si="3"/>
        <v>52</v>
      </c>
      <c r="G30" s="19">
        <f t="shared" si="0"/>
        <v>12.999799999999993</v>
      </c>
      <c r="H30" s="19">
        <f t="shared" si="1"/>
        <v>37</v>
      </c>
      <c r="I30" s="14"/>
      <c r="J30" s="14"/>
      <c r="K30" s="14"/>
    </row>
    <row r="31" spans="1:11" ht="15" customHeight="1" x14ac:dyDescent="0.25">
      <c r="A31" s="18">
        <v>27</v>
      </c>
      <c r="B31" s="18" t="s">
        <v>291</v>
      </c>
      <c r="C31" s="19">
        <v>0</v>
      </c>
      <c r="D31" s="19">
        <v>0</v>
      </c>
      <c r="E31" s="19">
        <f t="shared" si="2"/>
        <v>76.000200000000007</v>
      </c>
      <c r="F31" s="19">
        <f t="shared" si="3"/>
        <v>52</v>
      </c>
      <c r="G31" s="19">
        <f t="shared" si="0"/>
        <v>12.999799999999993</v>
      </c>
      <c r="H31" s="19">
        <f t="shared" si="1"/>
        <v>37</v>
      </c>
      <c r="I31" s="14"/>
      <c r="J31" s="14"/>
      <c r="K31" s="14"/>
    </row>
    <row r="32" spans="1:11" ht="15" customHeight="1" x14ac:dyDescent="0.25">
      <c r="A32" s="18">
        <v>28</v>
      </c>
      <c r="B32" s="18" t="s">
        <v>292</v>
      </c>
      <c r="C32" s="19">
        <v>0</v>
      </c>
      <c r="D32" s="19">
        <v>0</v>
      </c>
      <c r="E32" s="19">
        <f t="shared" si="2"/>
        <v>76.000200000000007</v>
      </c>
      <c r="F32" s="19">
        <f t="shared" si="3"/>
        <v>52</v>
      </c>
      <c r="G32" s="19">
        <f t="shared" si="0"/>
        <v>12.999799999999993</v>
      </c>
      <c r="H32" s="19">
        <f t="shared" si="1"/>
        <v>37</v>
      </c>
      <c r="I32" s="14"/>
      <c r="J32" s="14"/>
      <c r="K32" s="14"/>
    </row>
    <row r="33" spans="1:11" ht="15" customHeight="1" x14ac:dyDescent="0.25">
      <c r="A33" s="18">
        <v>29</v>
      </c>
      <c r="B33" s="18" t="s">
        <v>293</v>
      </c>
      <c r="C33" s="19">
        <v>7</v>
      </c>
      <c r="D33" s="19">
        <v>5</v>
      </c>
      <c r="E33" s="19">
        <f t="shared" si="2"/>
        <v>83.000200000000007</v>
      </c>
      <c r="F33" s="19">
        <f t="shared" si="3"/>
        <v>57</v>
      </c>
      <c r="G33" s="19">
        <f t="shared" si="0"/>
        <v>5.9997999999999934</v>
      </c>
      <c r="H33" s="19">
        <f t="shared" si="1"/>
        <v>32</v>
      </c>
      <c r="I33" s="14"/>
      <c r="J33" s="14"/>
      <c r="K33" s="14"/>
    </row>
    <row r="34" spans="1:11" ht="15" customHeight="1" x14ac:dyDescent="0.25">
      <c r="A34" s="18">
        <v>30</v>
      </c>
      <c r="B34" s="18" t="s">
        <v>294</v>
      </c>
      <c r="C34" s="19">
        <v>3</v>
      </c>
      <c r="D34" s="19">
        <v>2</v>
      </c>
      <c r="E34" s="19">
        <f t="shared" si="2"/>
        <v>86.000200000000007</v>
      </c>
      <c r="F34" s="19">
        <f t="shared" si="3"/>
        <v>59</v>
      </c>
      <c r="G34" s="19">
        <f t="shared" si="0"/>
        <v>2.9997999999999934</v>
      </c>
      <c r="H34" s="19">
        <f t="shared" si="1"/>
        <v>30</v>
      </c>
      <c r="I34" s="14"/>
      <c r="J34" s="14"/>
      <c r="K34" s="14"/>
    </row>
    <row r="35" spans="1:11" ht="15" customHeight="1" x14ac:dyDescent="0.25">
      <c r="A35" s="18">
        <v>31</v>
      </c>
      <c r="B35" s="18" t="s">
        <v>295</v>
      </c>
      <c r="C35" s="19">
        <v>1.5</v>
      </c>
      <c r="D35" s="19">
        <v>1</v>
      </c>
      <c r="E35" s="19">
        <f t="shared" si="2"/>
        <v>87.500200000000007</v>
      </c>
      <c r="F35" s="19">
        <f t="shared" si="3"/>
        <v>60</v>
      </c>
      <c r="G35" s="19">
        <f t="shared" si="0"/>
        <v>1.4997999999999934</v>
      </c>
      <c r="H35" s="19">
        <f t="shared" si="1"/>
        <v>29</v>
      </c>
      <c r="I35" s="14"/>
      <c r="J35" s="14"/>
      <c r="K35" s="14"/>
    </row>
    <row r="36" spans="1:11" ht="15" customHeight="1" x14ac:dyDescent="0.25">
      <c r="A36" s="18">
        <v>32</v>
      </c>
      <c r="B36" s="18" t="s">
        <v>296</v>
      </c>
      <c r="C36" s="19">
        <v>1.5</v>
      </c>
      <c r="D36" s="19">
        <v>1</v>
      </c>
      <c r="E36" s="19">
        <f t="shared" si="2"/>
        <v>89.000200000000007</v>
      </c>
      <c r="F36" s="19">
        <f t="shared" si="3"/>
        <v>61</v>
      </c>
      <c r="G36" s="19">
        <f t="shared" si="0"/>
        <v>-2.0000000000663931E-4</v>
      </c>
      <c r="H36" s="19">
        <f t="shared" si="1"/>
        <v>28</v>
      </c>
      <c r="I36" s="14"/>
      <c r="J36" s="14"/>
      <c r="K36" s="14"/>
    </row>
    <row r="37" spans="1:11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spans="1:11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spans="1:11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</row>
    <row r="60" spans="1:11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spans="1:11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</row>
    <row r="62" spans="1:11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</row>
    <row r="63" spans="1:11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</row>
    <row r="64" spans="1:11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</row>
    <row r="65" spans="1:11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</row>
    <row r="66" spans="1:11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</row>
    <row r="67" spans="1:11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</row>
    <row r="68" spans="1:11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spans="1:11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</row>
    <row r="70" spans="1:11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</row>
    <row r="71" spans="1:11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</row>
    <row r="72" spans="1:11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</row>
    <row r="73" spans="1:11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</row>
    <row r="74" spans="1:11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</row>
    <row r="75" spans="1:11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</row>
    <row r="76" spans="1:11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</row>
    <row r="77" spans="1:11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</row>
    <row r="78" spans="1:11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</row>
    <row r="79" spans="1:11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</row>
    <row r="80" spans="1:11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</row>
    <row r="81" spans="1:11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</row>
    <row r="82" spans="1:11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</row>
    <row r="83" spans="1:11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</row>
    <row r="84" spans="1:11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</row>
    <row r="85" spans="1:11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</row>
    <row r="86" spans="1:11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</row>
    <row r="87" spans="1:11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</row>
    <row r="88" spans="1:11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89" spans="1:11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</row>
    <row r="90" spans="1:11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</row>
    <row r="91" spans="1:11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</row>
    <row r="92" spans="1:11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</row>
    <row r="93" spans="1:11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</row>
    <row r="94" spans="1:11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</row>
    <row r="95" spans="1:11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</row>
    <row r="96" spans="1:11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</row>
    <row r="97" spans="1:11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</row>
    <row r="98" spans="1:11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</row>
    <row r="99" spans="1:11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</row>
    <row r="100" spans="1:11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</row>
    <row r="101" spans="1:11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</row>
    <row r="102" spans="1:11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</row>
    <row r="103" spans="1:11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</row>
    <row r="104" spans="1:11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</row>
    <row r="105" spans="1:11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</row>
    <row r="106" spans="1:11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</row>
    <row r="107" spans="1:11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</row>
    <row r="108" spans="1:11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</row>
    <row r="109" spans="1:11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</row>
    <row r="110" spans="1:11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</row>
    <row r="111" spans="1:11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</row>
    <row r="112" spans="1:11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</row>
    <row r="113" spans="1:11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</row>
    <row r="114" spans="1:11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</row>
    <row r="115" spans="1:11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</row>
    <row r="116" spans="1:11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</row>
    <row r="117" spans="1:11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</row>
    <row r="118" spans="1:11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</row>
    <row r="119" spans="1:11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</row>
    <row r="120" spans="1:11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</row>
    <row r="121" spans="1:11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</row>
    <row r="122" spans="1:11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</row>
    <row r="123" spans="1:11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</row>
    <row r="124" spans="1:11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</row>
    <row r="125" spans="1:11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</row>
    <row r="126" spans="1:11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</row>
    <row r="127" spans="1:11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</row>
    <row r="128" spans="1:11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</row>
    <row r="129" spans="1:11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</row>
    <row r="130" spans="1:11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</row>
    <row r="131" spans="1:11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</row>
    <row r="132" spans="1:11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</row>
    <row r="133" spans="1:11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</row>
    <row r="134" spans="1:11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</row>
    <row r="135" spans="1:11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</row>
    <row r="136" spans="1:11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</row>
    <row r="137" spans="1:11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</row>
    <row r="138" spans="1:11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</row>
    <row r="139" spans="1:11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</row>
    <row r="140" spans="1:11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</row>
    <row r="141" spans="1:11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</row>
    <row r="142" spans="1:11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</row>
    <row r="143" spans="1:11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</row>
    <row r="144" spans="1:11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</row>
    <row r="145" spans="1:11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</row>
    <row r="146" spans="1:11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</row>
    <row r="147" spans="1:11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</row>
    <row r="148" spans="1:11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</row>
    <row r="149" spans="1:11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</row>
    <row r="150" spans="1:11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</row>
    <row r="151" spans="1:11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</row>
    <row r="152" spans="1:11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</row>
    <row r="153" spans="1:11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</row>
    <row r="154" spans="1:11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</row>
    <row r="155" spans="1:11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</row>
    <row r="156" spans="1:11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</row>
    <row r="157" spans="1:11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</row>
    <row r="158" spans="1:11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</row>
    <row r="159" spans="1:11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</row>
    <row r="160" spans="1:11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</row>
    <row r="161" spans="1:11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</row>
    <row r="162" spans="1:11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</row>
    <row r="163" spans="1:11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</row>
    <row r="164" spans="1:11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</row>
    <row r="165" spans="1:11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</row>
    <row r="166" spans="1:11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</row>
    <row r="167" spans="1:11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</row>
    <row r="168" spans="1:11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</row>
    <row r="169" spans="1:11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</row>
    <row r="170" spans="1:11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</row>
    <row r="171" spans="1:11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</row>
    <row r="172" spans="1:11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</row>
    <row r="173" spans="1:11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</row>
    <row r="174" spans="1:11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</row>
    <row r="175" spans="1:11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</row>
    <row r="176" spans="1:11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</row>
    <row r="177" spans="1:11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</row>
    <row r="178" spans="1:11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</row>
    <row r="179" spans="1:11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</row>
    <row r="180" spans="1:11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</row>
    <row r="181" spans="1:11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</row>
    <row r="182" spans="1:11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</row>
    <row r="183" spans="1:11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</row>
    <row r="184" spans="1:11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</row>
    <row r="185" spans="1:11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</row>
    <row r="186" spans="1:11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</row>
    <row r="187" spans="1:11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</row>
    <row r="188" spans="1:11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</row>
    <row r="189" spans="1:11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</row>
    <row r="190" spans="1:11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</row>
    <row r="191" spans="1:11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</row>
    <row r="192" spans="1:11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</row>
    <row r="193" spans="1:11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</row>
    <row r="194" spans="1:11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</row>
    <row r="195" spans="1:11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</row>
    <row r="196" spans="1:11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</row>
    <row r="197" spans="1:11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</row>
    <row r="198" spans="1:11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</row>
    <row r="199" spans="1:11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</row>
    <row r="200" spans="1:11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</row>
    <row r="201" spans="1:11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</row>
    <row r="202" spans="1:11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</row>
    <row r="203" spans="1:11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</row>
    <row r="204" spans="1:11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</row>
    <row r="205" spans="1:11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</row>
    <row r="206" spans="1:11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</row>
    <row r="207" spans="1:11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</row>
    <row r="208" spans="1:11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</row>
    <row r="209" spans="1:11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</row>
    <row r="210" spans="1:11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</row>
    <row r="211" spans="1:11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</row>
    <row r="212" spans="1:11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</row>
    <row r="213" spans="1:11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</row>
    <row r="214" spans="1:11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</row>
    <row r="215" spans="1:11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</row>
    <row r="216" spans="1:11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</row>
    <row r="217" spans="1:11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</row>
    <row r="218" spans="1:11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</row>
    <row r="219" spans="1:11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</row>
    <row r="220" spans="1:11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</row>
    <row r="221" spans="1:11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</row>
    <row r="222" spans="1:11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</row>
    <row r="223" spans="1:11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</row>
    <row r="224" spans="1:11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</row>
    <row r="225" spans="1:11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</row>
    <row r="226" spans="1:11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</row>
    <row r="227" spans="1:11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</row>
    <row r="228" spans="1:11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</row>
    <row r="229" spans="1:11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</row>
    <row r="230" spans="1:11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</row>
    <row r="231" spans="1:11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</row>
    <row r="232" spans="1:11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</row>
    <row r="233" spans="1:11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</row>
    <row r="234" spans="1:11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</row>
    <row r="235" spans="1:11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</row>
    <row r="236" spans="1:11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</row>
    <row r="237" spans="1:11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</row>
    <row r="238" spans="1:11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</row>
    <row r="239" spans="1:11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</row>
    <row r="240" spans="1:11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</row>
    <row r="241" spans="1:11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</row>
    <row r="242" spans="1:11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</row>
    <row r="243" spans="1:11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</row>
    <row r="244" spans="1:11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</row>
    <row r="245" spans="1:11" ht="15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</row>
    <row r="246" spans="1:11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</row>
    <row r="247" spans="1:11" ht="15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</row>
    <row r="248" spans="1:11" ht="15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</row>
    <row r="249" spans="1:11" ht="15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</row>
    <row r="250" spans="1:11" ht="15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</row>
    <row r="251" spans="1:11" ht="15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</row>
    <row r="252" spans="1:11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</row>
    <row r="253" spans="1:11" ht="15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</row>
    <row r="254" spans="1:11" ht="15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</row>
    <row r="255" spans="1:11" ht="15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</row>
    <row r="256" spans="1:11" ht="15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</row>
    <row r="257" spans="1:11" ht="15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</row>
    <row r="258" spans="1:11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</row>
    <row r="259" spans="1:11" ht="15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</row>
    <row r="260" spans="1:11" ht="15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</row>
    <row r="261" spans="1:11" ht="15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</row>
    <row r="262" spans="1:11" ht="15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</row>
    <row r="263" spans="1:11" ht="15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</row>
    <row r="264" spans="1:11" ht="15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</row>
    <row r="265" spans="1:11" ht="15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</row>
    <row r="266" spans="1:11" ht="15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</row>
    <row r="267" spans="1:11" ht="15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</row>
    <row r="268" spans="1:11" ht="15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</row>
    <row r="269" spans="1:11" ht="15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</row>
    <row r="270" spans="1:11" ht="15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</row>
    <row r="271" spans="1:11" ht="15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</row>
    <row r="272" spans="1:11" ht="15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</row>
    <row r="273" spans="1:11" ht="15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</row>
    <row r="274" spans="1:11" ht="15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</row>
    <row r="275" spans="1:11" ht="15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</row>
    <row r="276" spans="1:11" ht="15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</row>
    <row r="277" spans="1:11" ht="15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</row>
    <row r="278" spans="1:11" ht="15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</row>
    <row r="279" spans="1:11" ht="15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</row>
    <row r="280" spans="1:11" ht="15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</row>
    <row r="281" spans="1:11" ht="15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</row>
    <row r="282" spans="1:11" ht="15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</row>
    <row r="283" spans="1:11" ht="15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</row>
    <row r="284" spans="1:11" ht="15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</row>
    <row r="285" spans="1:11" ht="15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</row>
    <row r="286" spans="1:11" ht="15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</row>
    <row r="287" spans="1:11" ht="15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</row>
    <row r="288" spans="1:11" ht="15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</row>
    <row r="289" spans="1:11" ht="15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</row>
    <row r="290" spans="1:11" ht="15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</row>
    <row r="291" spans="1:11" ht="15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</row>
    <row r="292" spans="1:11" ht="15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</row>
    <row r="293" spans="1:11" ht="15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</row>
    <row r="294" spans="1:11" ht="15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</row>
    <row r="295" spans="1:11" ht="15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</row>
    <row r="296" spans="1:11" ht="15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</row>
    <row r="297" spans="1:11" ht="15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</row>
    <row r="298" spans="1:11" ht="15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</row>
    <row r="299" spans="1:11" ht="15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</row>
    <row r="300" spans="1:11" ht="15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</row>
    <row r="301" spans="1:11" ht="15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</row>
    <row r="302" spans="1:11" ht="15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</row>
    <row r="303" spans="1:11" ht="15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</row>
    <row r="304" spans="1:11" ht="15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</row>
    <row r="305" spans="1:11" ht="15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</row>
    <row r="306" spans="1:11" ht="15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</row>
    <row r="307" spans="1:11" ht="15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</row>
    <row r="308" spans="1:11" ht="15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</row>
    <row r="309" spans="1:11" ht="15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</row>
    <row r="310" spans="1:11" ht="15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</row>
    <row r="311" spans="1:11" ht="15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</row>
    <row r="312" spans="1:11" ht="15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</row>
    <row r="313" spans="1:11" ht="15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</row>
    <row r="314" spans="1:11" ht="15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</row>
    <row r="315" spans="1:11" ht="15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</row>
    <row r="316" spans="1:11" ht="15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</row>
    <row r="317" spans="1:11" ht="15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</row>
    <row r="318" spans="1:11" ht="15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</row>
    <row r="319" spans="1:11" ht="15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</row>
    <row r="320" spans="1:11" ht="15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</row>
    <row r="321" spans="1:11" ht="15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</row>
    <row r="322" spans="1:11" ht="15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</row>
    <row r="323" spans="1:11" ht="15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</row>
    <row r="324" spans="1:11" ht="15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</row>
    <row r="325" spans="1:11" ht="15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</row>
    <row r="326" spans="1:11" ht="15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</row>
    <row r="327" spans="1:11" ht="15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</row>
    <row r="328" spans="1:11" ht="15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</row>
    <row r="329" spans="1:11" ht="15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</row>
    <row r="330" spans="1:11" ht="15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</row>
    <row r="331" spans="1:11" ht="15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</row>
    <row r="332" spans="1:11" ht="15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</row>
    <row r="333" spans="1:11" ht="15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</row>
    <row r="334" spans="1:11" ht="15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</row>
    <row r="335" spans="1:11" ht="15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</row>
    <row r="336" spans="1:11" ht="15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</row>
    <row r="337" spans="1:11" ht="15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</row>
    <row r="338" spans="1:11" ht="15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</row>
    <row r="339" spans="1:11" ht="15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</row>
    <row r="340" spans="1:11" ht="15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</row>
    <row r="341" spans="1:11" ht="15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</row>
    <row r="342" spans="1:11" ht="15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</row>
    <row r="343" spans="1:11" ht="15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</row>
    <row r="344" spans="1:11" ht="15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</row>
    <row r="345" spans="1:11" ht="15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</row>
    <row r="346" spans="1:11" ht="15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</row>
    <row r="347" spans="1:11" ht="15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</row>
    <row r="348" spans="1:11" ht="15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</row>
    <row r="349" spans="1:11" ht="15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</row>
    <row r="350" spans="1:11" ht="15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</row>
    <row r="351" spans="1:11" ht="15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</row>
    <row r="352" spans="1:11" ht="1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</row>
    <row r="353" spans="1:11" ht="15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</row>
    <row r="354" spans="1:11" ht="15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</row>
    <row r="355" spans="1:11" ht="15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</row>
    <row r="356" spans="1:11" ht="15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</row>
    <row r="357" spans="1:11" ht="15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</row>
    <row r="358" spans="1:11" ht="15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</row>
    <row r="359" spans="1:11" ht="15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</row>
    <row r="360" spans="1:11" ht="15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</row>
    <row r="361" spans="1:11" ht="15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</row>
    <row r="362" spans="1:11" ht="15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</row>
    <row r="363" spans="1:11" ht="15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</row>
    <row r="364" spans="1:11" ht="15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</row>
    <row r="365" spans="1:11" ht="15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</row>
    <row r="366" spans="1:11" ht="15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</row>
    <row r="367" spans="1:11" ht="15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</row>
    <row r="368" spans="1:11" ht="15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</row>
    <row r="369" spans="1:11" ht="15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</row>
    <row r="370" spans="1:11" ht="15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</row>
    <row r="371" spans="1:11" ht="15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</row>
    <row r="372" spans="1:11" ht="15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</row>
    <row r="373" spans="1:11" ht="15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</row>
    <row r="374" spans="1:11" ht="15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</row>
    <row r="375" spans="1:11" ht="15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</row>
    <row r="376" spans="1:11" ht="15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</row>
    <row r="377" spans="1:11" ht="15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</row>
    <row r="378" spans="1:11" ht="15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</row>
    <row r="379" spans="1:11" ht="15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</row>
    <row r="380" spans="1:11" ht="15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</row>
    <row r="381" spans="1:11" ht="15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</row>
    <row r="382" spans="1:11" ht="15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</row>
    <row r="383" spans="1:11" ht="15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</row>
    <row r="384" spans="1:11" ht="15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</row>
    <row r="385" spans="1:11" ht="15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</row>
    <row r="386" spans="1:11" ht="15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</row>
    <row r="387" spans="1:11" ht="15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</row>
    <row r="388" spans="1:11" ht="15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</row>
    <row r="389" spans="1:11" ht="15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</row>
    <row r="390" spans="1:11" ht="15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</row>
    <row r="391" spans="1:11" ht="15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</row>
    <row r="392" spans="1:11" ht="15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</row>
    <row r="393" spans="1:11" ht="15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</row>
    <row r="394" spans="1:11" ht="15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</row>
    <row r="395" spans="1:11" ht="15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</row>
    <row r="396" spans="1:11" ht="15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</row>
    <row r="397" spans="1:11" ht="15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</row>
    <row r="398" spans="1:11" ht="15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</row>
    <row r="399" spans="1:11" ht="15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</row>
    <row r="400" spans="1:11" ht="15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</row>
    <row r="401" spans="1:11" ht="15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</row>
    <row r="402" spans="1:11" ht="15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</row>
    <row r="403" spans="1:11" ht="15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</row>
    <row r="404" spans="1:11" ht="15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</row>
    <row r="405" spans="1:11" ht="15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</row>
    <row r="406" spans="1:11" ht="15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</row>
    <row r="407" spans="1:11" ht="15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</row>
    <row r="408" spans="1:11" ht="15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</row>
    <row r="409" spans="1:11" ht="15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</row>
    <row r="410" spans="1:11" ht="15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</row>
    <row r="411" spans="1:11" ht="15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</row>
    <row r="412" spans="1:11" ht="15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</row>
    <row r="413" spans="1:11" ht="15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</row>
    <row r="414" spans="1:11" ht="15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</row>
    <row r="415" spans="1:11" ht="15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</row>
    <row r="416" spans="1:11" ht="15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</row>
    <row r="417" spans="1:11" ht="15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</row>
    <row r="418" spans="1:11" ht="15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</row>
    <row r="419" spans="1:11" ht="15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</row>
    <row r="420" spans="1:11" ht="15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</row>
    <row r="421" spans="1:11" ht="15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</row>
    <row r="422" spans="1:11" ht="15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</row>
    <row r="423" spans="1:11" ht="15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</row>
    <row r="424" spans="1:11" ht="15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</row>
    <row r="425" spans="1:11" ht="15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</row>
    <row r="426" spans="1:11" ht="15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</row>
    <row r="427" spans="1:11" ht="15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</row>
    <row r="428" spans="1:11" ht="15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</row>
    <row r="429" spans="1:11" ht="15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</row>
    <row r="430" spans="1:11" ht="15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</row>
    <row r="431" spans="1:11" ht="15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</row>
    <row r="432" spans="1:11" ht="15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</row>
    <row r="433" spans="1:11" ht="15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</row>
    <row r="434" spans="1:11" ht="15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</row>
    <row r="435" spans="1:11" ht="15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</row>
    <row r="436" spans="1:11" ht="15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</row>
    <row r="437" spans="1:11" ht="15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</row>
    <row r="438" spans="1:11" ht="15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</row>
    <row r="439" spans="1:11" ht="15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</row>
    <row r="440" spans="1:11" ht="15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</row>
    <row r="441" spans="1:11" ht="15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</row>
    <row r="442" spans="1:11" ht="15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</row>
    <row r="443" spans="1:11" ht="15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</row>
    <row r="444" spans="1:11" ht="15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</row>
    <row r="445" spans="1:11" ht="15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</row>
    <row r="446" spans="1:11" ht="15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</row>
    <row r="447" spans="1:11" ht="15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</row>
    <row r="448" spans="1:11" ht="15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</row>
    <row r="449" spans="1:11" ht="15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</row>
    <row r="450" spans="1:11" ht="15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</row>
    <row r="451" spans="1:11" ht="15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</row>
    <row r="452" spans="1:11" ht="15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</row>
    <row r="453" spans="1:11" ht="15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</row>
    <row r="454" spans="1:11" ht="15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</row>
    <row r="455" spans="1:11" ht="15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</row>
    <row r="456" spans="1:11" ht="15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</row>
    <row r="457" spans="1:11" ht="15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</row>
    <row r="458" spans="1:11" ht="15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</row>
    <row r="459" spans="1:11" ht="15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</row>
    <row r="460" spans="1:11" ht="15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</row>
    <row r="461" spans="1:11" ht="15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</row>
    <row r="462" spans="1:11" ht="15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</row>
    <row r="463" spans="1:11" ht="15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</row>
    <row r="464" spans="1:11" ht="15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</row>
    <row r="465" spans="1:11" ht="15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</row>
    <row r="466" spans="1:11" ht="15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</row>
    <row r="467" spans="1:11" ht="15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</row>
    <row r="468" spans="1:11" ht="15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</row>
    <row r="469" spans="1:11" ht="15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</row>
    <row r="470" spans="1:11" ht="15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</row>
    <row r="471" spans="1:11" ht="15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</row>
    <row r="472" spans="1:11" ht="15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</row>
    <row r="473" spans="1:11" ht="15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</row>
    <row r="474" spans="1:11" ht="15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</row>
    <row r="475" spans="1:11" ht="15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</row>
    <row r="476" spans="1:11" ht="15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</row>
    <row r="477" spans="1:11" ht="15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</row>
    <row r="478" spans="1:11" ht="15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</row>
    <row r="479" spans="1:11" ht="15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</row>
    <row r="480" spans="1:11" ht="15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</row>
    <row r="481" spans="1:11" ht="15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</row>
    <row r="482" spans="1:11" ht="15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</row>
    <row r="483" spans="1:11" ht="15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</row>
    <row r="484" spans="1:11" ht="15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</row>
    <row r="485" spans="1:11" ht="15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</row>
    <row r="486" spans="1:11" ht="15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</row>
    <row r="487" spans="1:11" ht="15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</row>
    <row r="488" spans="1:11" ht="15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</row>
    <row r="489" spans="1:11" ht="15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</row>
    <row r="490" spans="1:11" ht="15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</row>
    <row r="491" spans="1:11" ht="15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</row>
    <row r="492" spans="1:11" ht="15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</row>
    <row r="493" spans="1:11" ht="15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</row>
    <row r="494" spans="1:11" ht="15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</row>
    <row r="495" spans="1:11" ht="15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</row>
    <row r="496" spans="1:11" ht="15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</row>
    <row r="497" spans="1:11" ht="15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</row>
    <row r="498" spans="1:11" ht="15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</row>
    <row r="499" spans="1:11" ht="15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</row>
    <row r="500" spans="1:11" ht="15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</row>
    <row r="501" spans="1:11" ht="15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</row>
    <row r="502" spans="1:11" ht="15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</row>
    <row r="503" spans="1:11" ht="15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</row>
    <row r="504" spans="1:11" ht="15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</row>
    <row r="505" spans="1:11" ht="15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</row>
    <row r="506" spans="1:11" ht="15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</row>
    <row r="507" spans="1:11" ht="15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</row>
    <row r="508" spans="1:11" ht="15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</row>
    <row r="509" spans="1:11" ht="15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</row>
    <row r="510" spans="1:11" ht="15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</row>
    <row r="511" spans="1:11" ht="15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</row>
    <row r="512" spans="1:11" ht="15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</row>
    <row r="513" spans="1:11" ht="15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</row>
    <row r="514" spans="1:11" ht="15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</row>
    <row r="515" spans="1:11" ht="15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</row>
    <row r="516" spans="1:11" ht="15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</row>
    <row r="517" spans="1:11" ht="15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</row>
    <row r="518" spans="1:11" ht="15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</row>
    <row r="519" spans="1:11" ht="15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</row>
    <row r="520" spans="1:11" ht="15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</row>
    <row r="521" spans="1:11" ht="15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</row>
    <row r="522" spans="1:11" ht="15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</row>
    <row r="523" spans="1:11" ht="15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</row>
    <row r="524" spans="1:11" ht="15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</row>
    <row r="525" spans="1:11" ht="15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</row>
    <row r="526" spans="1:11" ht="15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</row>
    <row r="527" spans="1:11" ht="15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</row>
    <row r="528" spans="1:11" ht="15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</row>
    <row r="529" spans="1:11" ht="15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</row>
    <row r="530" spans="1:11" ht="15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</row>
    <row r="531" spans="1:11" ht="15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</row>
    <row r="532" spans="1:11" ht="15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</row>
    <row r="533" spans="1:11" ht="15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</row>
    <row r="534" spans="1:11" ht="15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</row>
    <row r="535" spans="1:11" ht="15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</row>
    <row r="536" spans="1:11" ht="15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</row>
    <row r="537" spans="1:11" ht="15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</row>
    <row r="538" spans="1:11" ht="15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</row>
    <row r="539" spans="1:11" ht="15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</row>
    <row r="540" spans="1:11" ht="15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</row>
    <row r="541" spans="1:11" ht="15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</row>
    <row r="542" spans="1:11" ht="15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</row>
    <row r="543" spans="1:11" ht="15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</row>
    <row r="544" spans="1:11" ht="15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</row>
    <row r="545" spans="1:11" ht="15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</row>
    <row r="546" spans="1:11" ht="15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</row>
    <row r="547" spans="1:11" ht="15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</row>
    <row r="548" spans="1:11" ht="15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</row>
    <row r="549" spans="1:11" ht="15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</row>
    <row r="550" spans="1:11" ht="15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</row>
    <row r="551" spans="1:11" ht="15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</row>
    <row r="552" spans="1:11" ht="15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</row>
    <row r="553" spans="1:11" ht="15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</row>
    <row r="554" spans="1:11" ht="15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</row>
    <row r="555" spans="1:11" ht="15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</row>
    <row r="556" spans="1:11" ht="15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</row>
    <row r="557" spans="1:11" ht="15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</row>
    <row r="558" spans="1:11" ht="15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</row>
    <row r="559" spans="1:11" ht="15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</row>
    <row r="560" spans="1:11" ht="15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</row>
    <row r="561" spans="1:11" ht="15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</row>
    <row r="562" spans="1:11" ht="15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</row>
    <row r="563" spans="1:11" ht="15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</row>
    <row r="564" spans="1:11" ht="15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</row>
    <row r="565" spans="1:11" ht="15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</row>
    <row r="566" spans="1:11" ht="15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</row>
    <row r="567" spans="1:11" ht="15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</row>
    <row r="568" spans="1:11" ht="15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</row>
    <row r="569" spans="1:11" ht="15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</row>
    <row r="570" spans="1:11" ht="15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</row>
    <row r="571" spans="1:11" ht="15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</row>
    <row r="572" spans="1:11" ht="15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</row>
    <row r="573" spans="1:11" ht="15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</row>
    <row r="574" spans="1:11" ht="15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</row>
    <row r="575" spans="1:11" ht="15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</row>
    <row r="576" spans="1:11" ht="15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</row>
    <row r="577" spans="1:11" ht="15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</row>
    <row r="578" spans="1:11" ht="15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</row>
    <row r="579" spans="1:11" ht="15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</row>
    <row r="580" spans="1:11" ht="15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</row>
    <row r="581" spans="1:11" ht="15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</row>
    <row r="582" spans="1:11" ht="15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</row>
    <row r="583" spans="1:11" ht="15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</row>
    <row r="584" spans="1:11" ht="15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</row>
    <row r="585" spans="1:11" ht="15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</row>
    <row r="586" spans="1:11" ht="15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</row>
    <row r="587" spans="1:11" ht="15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</row>
    <row r="588" spans="1:11" ht="15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</row>
    <row r="589" spans="1:11" ht="15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</row>
    <row r="590" spans="1:11" ht="15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</row>
    <row r="591" spans="1:11" ht="15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</row>
    <row r="592" spans="1:11" ht="15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</row>
    <row r="593" spans="1:11" ht="15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</row>
    <row r="594" spans="1:11" ht="15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</row>
    <row r="595" spans="1:11" ht="15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</row>
    <row r="596" spans="1:11" ht="15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</row>
    <row r="597" spans="1:11" ht="15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</row>
    <row r="598" spans="1:11" ht="15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</row>
    <row r="599" spans="1:11" ht="15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</row>
    <row r="600" spans="1:11" ht="15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</row>
    <row r="601" spans="1:11" ht="15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</row>
    <row r="602" spans="1:11" ht="15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</row>
    <row r="603" spans="1:11" ht="15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</row>
    <row r="604" spans="1:11" ht="15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</row>
    <row r="605" spans="1:11" ht="15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</row>
    <row r="606" spans="1:11" ht="15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</row>
    <row r="607" spans="1:11" ht="15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</row>
    <row r="608" spans="1:11" ht="15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</row>
    <row r="609" spans="1:11" ht="15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</row>
    <row r="610" spans="1:11" ht="15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</row>
    <row r="611" spans="1:11" ht="15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</row>
    <row r="612" spans="1:11" ht="15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</row>
    <row r="613" spans="1:11" ht="15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</row>
    <row r="614" spans="1:11" ht="15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</row>
    <row r="615" spans="1:11" ht="15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</row>
    <row r="616" spans="1:11" ht="15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</row>
    <row r="617" spans="1:11" ht="15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</row>
    <row r="618" spans="1:11" ht="15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</row>
    <row r="619" spans="1:11" ht="15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</row>
    <row r="620" spans="1:11" ht="15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</row>
    <row r="621" spans="1:11" ht="15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</row>
    <row r="622" spans="1:11" ht="15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</row>
    <row r="623" spans="1:11" ht="15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</row>
    <row r="624" spans="1:11" ht="15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</row>
    <row r="625" spans="1:11" ht="15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</row>
    <row r="626" spans="1:11" ht="15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</row>
    <row r="627" spans="1:11" ht="15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</row>
    <row r="628" spans="1:11" ht="15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</row>
    <row r="629" spans="1:11" ht="15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</row>
    <row r="630" spans="1:11" ht="15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</row>
    <row r="631" spans="1:11" ht="15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</row>
    <row r="632" spans="1:11" ht="15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</row>
    <row r="633" spans="1:11" ht="15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</row>
    <row r="634" spans="1:11" ht="15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</row>
    <row r="635" spans="1:11" ht="15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</row>
    <row r="636" spans="1:11" ht="15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</row>
    <row r="637" spans="1:11" ht="15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</row>
    <row r="638" spans="1:11" ht="15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</row>
    <row r="639" spans="1:11" ht="15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</row>
    <row r="640" spans="1:11" ht="15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</row>
    <row r="641" spans="1:11" ht="15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</row>
    <row r="642" spans="1:11" ht="15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</row>
    <row r="643" spans="1:11" ht="15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</row>
    <row r="644" spans="1:11" ht="15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</row>
    <row r="645" spans="1:11" ht="15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</row>
    <row r="646" spans="1:11" ht="15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</row>
    <row r="647" spans="1:11" ht="15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</row>
    <row r="648" spans="1:11" ht="15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</row>
    <row r="649" spans="1:11" ht="15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</row>
    <row r="650" spans="1:11" ht="15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</row>
    <row r="651" spans="1:11" ht="15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</row>
    <row r="652" spans="1:11" ht="15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</row>
    <row r="653" spans="1:11" ht="15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</row>
    <row r="654" spans="1:11" ht="15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</row>
    <row r="655" spans="1:11" ht="15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</row>
    <row r="656" spans="1:11" ht="15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</row>
    <row r="657" spans="1:11" ht="15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</row>
    <row r="658" spans="1:11" ht="15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</row>
    <row r="659" spans="1:11" ht="15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</row>
    <row r="660" spans="1:11" ht="15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</row>
    <row r="661" spans="1:11" ht="15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</row>
    <row r="662" spans="1:11" ht="15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</row>
    <row r="663" spans="1:11" ht="15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</row>
    <row r="664" spans="1:11" ht="15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</row>
    <row r="665" spans="1:11" ht="15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</row>
    <row r="666" spans="1:11" ht="15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</row>
    <row r="667" spans="1:11" ht="15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</row>
    <row r="668" spans="1:11" ht="15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</row>
    <row r="669" spans="1:11" ht="15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</row>
    <row r="670" spans="1:11" ht="15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</row>
    <row r="671" spans="1:11" ht="15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</row>
    <row r="672" spans="1:11" ht="15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</row>
    <row r="673" spans="1:11" ht="15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</row>
    <row r="674" spans="1:11" ht="15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</row>
    <row r="675" spans="1:11" ht="15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</row>
    <row r="676" spans="1:11" ht="15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</row>
    <row r="677" spans="1:11" ht="15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</row>
    <row r="678" spans="1:11" ht="15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</row>
    <row r="679" spans="1:11" ht="15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</row>
    <row r="680" spans="1:11" ht="15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</row>
    <row r="681" spans="1:11" ht="15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</row>
    <row r="682" spans="1:11" ht="15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</row>
    <row r="683" spans="1:11" ht="15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</row>
    <row r="684" spans="1:11" ht="15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</row>
    <row r="685" spans="1:11" ht="15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</row>
    <row r="686" spans="1:11" ht="15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</row>
    <row r="687" spans="1:11" ht="15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</row>
    <row r="688" spans="1:11" ht="15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</row>
    <row r="689" spans="1:11" ht="15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</row>
    <row r="690" spans="1:11" ht="15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</row>
    <row r="691" spans="1:11" ht="15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</row>
    <row r="692" spans="1:11" ht="15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</row>
    <row r="693" spans="1:11" ht="15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</row>
    <row r="694" spans="1:11" ht="15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</row>
    <row r="695" spans="1:11" ht="15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</row>
    <row r="696" spans="1:11" ht="15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</row>
    <row r="697" spans="1:11" ht="15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</row>
    <row r="698" spans="1:11" ht="15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</row>
    <row r="699" spans="1:11" ht="15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</row>
    <row r="700" spans="1:11" ht="15.7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</row>
    <row r="701" spans="1:11" ht="15.7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</row>
    <row r="702" spans="1:11" ht="15.7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</row>
    <row r="703" spans="1:11" ht="15.7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</row>
    <row r="704" spans="1:11" ht="15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</row>
    <row r="705" spans="1:11" ht="15.7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</row>
    <row r="706" spans="1:11" ht="15.7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</row>
    <row r="707" spans="1:11" ht="15.7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</row>
    <row r="708" spans="1:11" ht="15.7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</row>
    <row r="709" spans="1:11" ht="15.7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</row>
    <row r="710" spans="1:11" ht="15.7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</row>
    <row r="711" spans="1:11" ht="15.7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</row>
    <row r="712" spans="1:11" ht="15.7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</row>
    <row r="713" spans="1:11" ht="15.7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</row>
    <row r="714" spans="1:11" ht="15.7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</row>
    <row r="715" spans="1:11" ht="15.7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</row>
    <row r="716" spans="1:11" ht="15.7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</row>
    <row r="717" spans="1:11" ht="15.7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</row>
    <row r="718" spans="1:11" ht="15.7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</row>
    <row r="719" spans="1:11" ht="15.7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</row>
    <row r="720" spans="1:11" ht="15.7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</row>
    <row r="721" spans="1:11" ht="15.7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</row>
    <row r="722" spans="1:11" ht="15.7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</row>
    <row r="723" spans="1:11" ht="15.7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</row>
    <row r="724" spans="1:11" ht="15.7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</row>
    <row r="725" spans="1:11" ht="15.7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</row>
    <row r="726" spans="1:11" ht="15.7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</row>
    <row r="727" spans="1:11" ht="15.7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</row>
    <row r="728" spans="1:11" ht="15.7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</row>
    <row r="729" spans="1:11" ht="15.7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</row>
    <row r="730" spans="1:11" ht="15.7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</row>
    <row r="731" spans="1:11" ht="15.7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</row>
    <row r="732" spans="1:11" ht="15.7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</row>
    <row r="733" spans="1:11" ht="15.7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</row>
    <row r="734" spans="1:11" ht="15.7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</row>
    <row r="735" spans="1:11" ht="15.7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</row>
    <row r="736" spans="1:11" ht="15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</row>
    <row r="737" spans="1:11" ht="15.7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</row>
    <row r="738" spans="1:11" ht="15.7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</row>
    <row r="739" spans="1:11" ht="15.7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</row>
    <row r="740" spans="1:11" ht="15.7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</row>
    <row r="741" spans="1:11" ht="15.7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</row>
    <row r="742" spans="1:11" ht="15.7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</row>
    <row r="743" spans="1:11" ht="15.7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</row>
    <row r="744" spans="1:11" ht="15.7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</row>
    <row r="745" spans="1:11" ht="15.7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</row>
    <row r="746" spans="1:11" ht="15.7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</row>
    <row r="747" spans="1:11" ht="15.7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</row>
    <row r="748" spans="1:11" ht="15.7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</row>
    <row r="749" spans="1:11" ht="15.7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</row>
    <row r="750" spans="1:11" ht="15.7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</row>
    <row r="751" spans="1:11" ht="15.7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</row>
    <row r="752" spans="1:11" ht="15.7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</row>
    <row r="753" spans="1:11" ht="15.7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</row>
    <row r="754" spans="1:11" ht="15.7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</row>
    <row r="755" spans="1:11" ht="15.7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</row>
    <row r="756" spans="1:11" ht="15.7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</row>
    <row r="757" spans="1:11" ht="15.7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</row>
    <row r="758" spans="1:11" ht="15.7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</row>
    <row r="759" spans="1:11" ht="15.7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</row>
    <row r="760" spans="1:11" ht="15.7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</row>
    <row r="761" spans="1:11" ht="15.7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</row>
    <row r="762" spans="1:11" ht="15.7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</row>
    <row r="763" spans="1:11" ht="15.7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</row>
    <row r="764" spans="1:11" ht="15.7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</row>
    <row r="765" spans="1:11" ht="15.7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</row>
    <row r="766" spans="1:11" ht="15.7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</row>
    <row r="767" spans="1:11" ht="15.7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</row>
    <row r="768" spans="1:11" ht="15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</row>
    <row r="769" spans="1:11" ht="15.7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</row>
    <row r="770" spans="1:11" ht="15.7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</row>
    <row r="771" spans="1:11" ht="15.7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</row>
    <row r="772" spans="1:11" ht="15.7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</row>
    <row r="773" spans="1:11" ht="15.7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</row>
    <row r="774" spans="1:11" ht="15.7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</row>
    <row r="775" spans="1:11" ht="15.7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</row>
    <row r="776" spans="1:11" ht="15.7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</row>
    <row r="777" spans="1:11" ht="15.7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</row>
    <row r="778" spans="1:11" ht="15.7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</row>
    <row r="779" spans="1:11" ht="15.7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</row>
    <row r="780" spans="1:11" ht="15.7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</row>
    <row r="781" spans="1:11" ht="15.7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</row>
    <row r="782" spans="1:11" ht="15.7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</row>
    <row r="783" spans="1:11" ht="15.7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</row>
    <row r="784" spans="1:11" ht="15.7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</row>
    <row r="785" spans="1:11" ht="15.7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</row>
    <row r="786" spans="1:11" ht="15.7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</row>
    <row r="787" spans="1:11" ht="15.7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</row>
    <row r="788" spans="1:11" ht="15.7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</row>
    <row r="789" spans="1:11" ht="15.7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</row>
    <row r="790" spans="1:11" ht="15.7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</row>
    <row r="791" spans="1:11" ht="15.7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</row>
    <row r="792" spans="1:11" ht="15.7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</row>
    <row r="793" spans="1:11" ht="15.7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</row>
    <row r="794" spans="1:11" ht="15.7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</row>
    <row r="795" spans="1:11" ht="15.7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</row>
    <row r="796" spans="1:11" ht="15.7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</row>
    <row r="797" spans="1:11" ht="15.7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</row>
    <row r="798" spans="1:11" ht="15.7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</row>
    <row r="799" spans="1:11" ht="15.7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</row>
    <row r="800" spans="1:11" ht="15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</row>
    <row r="801" spans="1:11" ht="15.7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</row>
    <row r="802" spans="1:11" ht="15.7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</row>
    <row r="803" spans="1:11" ht="15.7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</row>
    <row r="804" spans="1:11" ht="15.7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</row>
    <row r="805" spans="1:11" ht="15.7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</row>
    <row r="806" spans="1:11" ht="15.7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</row>
    <row r="807" spans="1:11" ht="15.7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</row>
    <row r="808" spans="1:11" ht="15.7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</row>
    <row r="809" spans="1:11" ht="15.7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</row>
    <row r="810" spans="1:11" ht="15.7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</row>
    <row r="811" spans="1:11" ht="15.7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</row>
    <row r="812" spans="1:11" ht="15.7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</row>
    <row r="813" spans="1:11" ht="15.7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</row>
    <row r="814" spans="1:11" ht="15.7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</row>
    <row r="815" spans="1:11" ht="15.7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</row>
    <row r="816" spans="1:11" ht="15.7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</row>
    <row r="817" spans="1:11" ht="15.7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</row>
    <row r="818" spans="1:11" ht="15.7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</row>
    <row r="819" spans="1:11" ht="15.7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</row>
    <row r="820" spans="1:11" ht="15.7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</row>
    <row r="821" spans="1:11" ht="15.7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</row>
    <row r="822" spans="1:11" ht="15.7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</row>
    <row r="823" spans="1:11" ht="15.7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</row>
    <row r="824" spans="1:11" ht="15.7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</row>
    <row r="825" spans="1:11" ht="15.7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</row>
    <row r="826" spans="1:11" ht="15.7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</row>
    <row r="827" spans="1:11" ht="15.7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</row>
    <row r="828" spans="1:11" ht="15.7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</row>
    <row r="829" spans="1:11" ht="15.7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</row>
    <row r="830" spans="1:11" ht="15.7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</row>
    <row r="831" spans="1:11" ht="15.7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</row>
    <row r="832" spans="1:11" ht="15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</row>
    <row r="833" spans="1:11" ht="15.7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</row>
    <row r="834" spans="1:11" ht="15.7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</row>
    <row r="835" spans="1:11" ht="15.7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</row>
    <row r="836" spans="1:11" ht="15.7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</row>
    <row r="837" spans="1:11" ht="15.7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</row>
    <row r="838" spans="1:11" ht="15.7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</row>
    <row r="839" spans="1:11" ht="15.7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</row>
    <row r="840" spans="1:11" ht="15.7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</row>
    <row r="841" spans="1:11" ht="15.7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</row>
    <row r="842" spans="1:11" ht="15.7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</row>
    <row r="843" spans="1:11" ht="15.7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</row>
    <row r="844" spans="1:11" ht="15.7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</row>
    <row r="845" spans="1:11" ht="15.7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</row>
    <row r="846" spans="1:11" ht="15.7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</row>
    <row r="847" spans="1:11" ht="15.7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</row>
    <row r="848" spans="1:11" ht="15.7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</row>
    <row r="849" spans="1:11" ht="15.7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</row>
    <row r="850" spans="1:11" ht="15.7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</row>
    <row r="851" spans="1:11" ht="15.7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</row>
    <row r="852" spans="1:11" ht="15.7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</row>
    <row r="853" spans="1:11" ht="15.7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</row>
    <row r="854" spans="1:11" ht="15.7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</row>
    <row r="855" spans="1:11" ht="15.7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</row>
    <row r="856" spans="1:11" ht="15.7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</row>
    <row r="857" spans="1:11" ht="15.7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</row>
    <row r="858" spans="1:11" ht="15.7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</row>
    <row r="859" spans="1:11" ht="15.7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</row>
    <row r="860" spans="1:11" ht="15.7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</row>
    <row r="861" spans="1:11" ht="15.7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</row>
    <row r="862" spans="1:11" ht="15.7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</row>
    <row r="863" spans="1:11" ht="15.7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</row>
    <row r="864" spans="1:11" ht="15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</row>
    <row r="865" spans="1:11" ht="15.7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</row>
    <row r="866" spans="1:11" ht="15.7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</row>
    <row r="867" spans="1:11" ht="15.7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</row>
    <row r="868" spans="1:11" ht="15.7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</row>
    <row r="869" spans="1:11" ht="15.7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</row>
    <row r="870" spans="1:11" ht="15.7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</row>
    <row r="871" spans="1:11" ht="15.7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</row>
    <row r="872" spans="1:11" ht="15.7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</row>
    <row r="873" spans="1:11" ht="15.7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</row>
    <row r="874" spans="1:11" ht="15.7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</row>
    <row r="875" spans="1:11" ht="15.7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</row>
    <row r="876" spans="1:11" ht="15.7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</row>
    <row r="877" spans="1:11" ht="15.7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</row>
    <row r="878" spans="1:11" ht="15.7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</row>
    <row r="879" spans="1:11" ht="15.7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</row>
    <row r="880" spans="1:11" ht="15.7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</row>
    <row r="881" spans="1:11" ht="15.7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</row>
    <row r="882" spans="1:11" ht="15.7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</row>
    <row r="883" spans="1:11" ht="15.7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</row>
    <row r="884" spans="1:11" ht="15.7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</row>
    <row r="885" spans="1:11" ht="15.7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</row>
    <row r="886" spans="1:11" ht="15.7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</row>
    <row r="887" spans="1:11" ht="15.7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</row>
    <row r="888" spans="1:11" ht="15.7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</row>
    <row r="889" spans="1:11" ht="15.7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</row>
    <row r="890" spans="1:11" ht="15.7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</row>
    <row r="891" spans="1:11" ht="15.7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</row>
    <row r="892" spans="1:11" ht="15.7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</row>
    <row r="893" spans="1:11" ht="15.7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</row>
    <row r="894" spans="1:11" ht="15.7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</row>
    <row r="895" spans="1:11" ht="15.7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</row>
    <row r="896" spans="1:11" ht="15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</row>
    <row r="897" spans="1:11" ht="15.7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</row>
    <row r="898" spans="1:11" ht="15.7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</row>
    <row r="899" spans="1:11" ht="15.7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</row>
    <row r="900" spans="1:11" ht="15.7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</row>
    <row r="901" spans="1:11" ht="15.7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</row>
    <row r="902" spans="1:11" ht="15.7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</row>
    <row r="903" spans="1:11" ht="15.7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</row>
    <row r="904" spans="1:11" ht="15.7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</row>
    <row r="905" spans="1:11" ht="15.7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</row>
    <row r="906" spans="1:11" ht="15.7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</row>
    <row r="907" spans="1:11" ht="15.7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</row>
    <row r="908" spans="1:11" ht="15.7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</row>
    <row r="909" spans="1:11" ht="15.7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</row>
    <row r="910" spans="1:11" ht="15.7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</row>
    <row r="911" spans="1:11" ht="15.7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</row>
    <row r="912" spans="1:11" ht="15.7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</row>
    <row r="913" spans="1:11" ht="15.7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</row>
    <row r="914" spans="1:11" ht="15.7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</row>
    <row r="915" spans="1:11" ht="15.7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</row>
    <row r="916" spans="1:11" ht="15.7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</row>
    <row r="917" spans="1:11" ht="15.7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</row>
    <row r="918" spans="1:11" ht="15.7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</row>
    <row r="919" spans="1:11" ht="15.7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</row>
    <row r="920" spans="1:11" ht="15.7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</row>
    <row r="921" spans="1:11" ht="15.7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</row>
    <row r="922" spans="1:11" ht="15.7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</row>
    <row r="923" spans="1:11" ht="15.7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</row>
    <row r="924" spans="1:11" ht="15.7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</row>
    <row r="925" spans="1:11" ht="15.7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</row>
    <row r="926" spans="1:11" ht="15.7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</row>
    <row r="927" spans="1:11" ht="15.7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</row>
    <row r="928" spans="1:11" ht="15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</row>
    <row r="929" spans="1:11" ht="15.7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</row>
    <row r="930" spans="1:11" ht="15.7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</row>
    <row r="931" spans="1:11" ht="15.7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</row>
    <row r="932" spans="1:11" ht="15.7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</row>
    <row r="933" spans="1:11" ht="15.7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</row>
    <row r="934" spans="1:11" ht="15.7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</row>
    <row r="935" spans="1:11" ht="15.7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</row>
    <row r="936" spans="1:11" ht="15.7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</row>
    <row r="937" spans="1:11" ht="15.7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</row>
    <row r="938" spans="1:11" ht="15.7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</row>
    <row r="939" spans="1:11" ht="15.7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</row>
    <row r="940" spans="1:11" ht="15.7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</row>
    <row r="941" spans="1:11" ht="15.7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</row>
    <row r="942" spans="1:11" ht="15.7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</row>
    <row r="943" spans="1:11" ht="15.7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</row>
    <row r="944" spans="1:11" ht="15.7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</row>
    <row r="945" spans="1:11" ht="15.7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</row>
    <row r="946" spans="1:11" ht="15.7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</row>
    <row r="947" spans="1:11" ht="15.7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</row>
    <row r="948" spans="1:11" ht="15.7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</row>
    <row r="949" spans="1:11" ht="15.7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</row>
    <row r="950" spans="1:11" ht="15.7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</row>
    <row r="951" spans="1:11" ht="15.7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</row>
    <row r="952" spans="1:11" ht="15.7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</row>
    <row r="953" spans="1:11" ht="15.7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</row>
    <row r="954" spans="1:11" ht="15.7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</row>
    <row r="955" spans="1:11" ht="15.7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</row>
    <row r="956" spans="1:11" ht="15.7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</row>
    <row r="957" spans="1:11" ht="15.7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</row>
    <row r="958" spans="1:11" ht="15.7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</row>
    <row r="959" spans="1:11" ht="15.7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</row>
    <row r="960" spans="1:11" ht="15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</row>
    <row r="961" spans="1:11" ht="15.7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</row>
    <row r="962" spans="1:11" ht="15.7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</row>
    <row r="963" spans="1:11" ht="15.7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</row>
    <row r="964" spans="1:11" ht="15.7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</row>
    <row r="965" spans="1:11" ht="15.7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</row>
    <row r="966" spans="1:11" ht="15.7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</row>
    <row r="967" spans="1:11" ht="15.7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</row>
    <row r="968" spans="1:11" ht="15.7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</row>
    <row r="969" spans="1:11" ht="15.7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</row>
    <row r="970" spans="1:11" ht="15.7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</row>
    <row r="971" spans="1:11" ht="15.7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</row>
    <row r="972" spans="1:11" ht="15.7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</row>
    <row r="973" spans="1:11" ht="15.7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</row>
    <row r="974" spans="1:11" ht="15.7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</row>
    <row r="975" spans="1:11" ht="15.7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</row>
    <row r="976" spans="1:11" ht="15.7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</row>
    <row r="977" spans="1:11" ht="15.7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</row>
    <row r="978" spans="1:11" ht="15.7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</row>
    <row r="979" spans="1:11" ht="15.7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</row>
    <row r="980" spans="1:11" ht="15.7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</row>
    <row r="981" spans="1:11" ht="15.7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</row>
    <row r="982" spans="1:11" ht="15.7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</row>
    <row r="983" spans="1:11" ht="15.7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</row>
    <row r="984" spans="1:11" ht="15.7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</row>
    <row r="985" spans="1:11" ht="15.7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</row>
    <row r="986" spans="1:11" ht="15.7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</row>
    <row r="987" spans="1:11" ht="15.7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</row>
    <row r="988" spans="1:11" ht="15.7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</row>
    <row r="989" spans="1:11" ht="15.7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</row>
    <row r="990" spans="1:11" ht="15.7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</row>
    <row r="991" spans="1:11" ht="15.7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</row>
    <row r="992" spans="1:11" ht="15.7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</row>
    <row r="993" spans="1:11" ht="15.7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</row>
    <row r="994" spans="1:11" ht="15.7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</row>
    <row r="995" spans="1:11" ht="15.7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</row>
    <row r="996" spans="1:11" ht="15.7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</row>
    <row r="997" spans="1:11" ht="15.7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</row>
    <row r="998" spans="1:11" ht="15.7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</row>
    <row r="999" spans="1:11" ht="15.7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</row>
    <row r="1000" spans="1:11" ht="15.75" customHeight="1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showGridLines="0" topLeftCell="A32" zoomScaleNormal="100" workbookViewId="0">
      <selection sqref="A1:J1"/>
    </sheetView>
  </sheetViews>
  <sheetFormatPr baseColWidth="10" defaultColWidth="14.42578125" defaultRowHeight="15" x14ac:dyDescent="0.25"/>
  <cols>
    <col min="1" max="1" width="14" customWidth="1"/>
    <col min="2" max="3" width="11" customWidth="1"/>
    <col min="4" max="4" width="12" customWidth="1"/>
    <col min="5" max="10" width="16" customWidth="1"/>
    <col min="11" max="11" width="3" customWidth="1"/>
    <col min="12" max="12" width="46" customWidth="1"/>
    <col min="13" max="13" width="10" customWidth="1"/>
    <col min="14" max="26" width="8.7109375" customWidth="1"/>
  </cols>
  <sheetData>
    <row r="1" spans="1:13" ht="18" customHeight="1" x14ac:dyDescent="0.25">
      <c r="A1" s="2" t="s">
        <v>297</v>
      </c>
      <c r="B1" s="2"/>
      <c r="C1" s="2"/>
      <c r="D1" s="2"/>
      <c r="E1" s="2"/>
      <c r="F1" s="2"/>
      <c r="G1" s="2"/>
      <c r="H1" s="2"/>
      <c r="I1" s="2"/>
      <c r="J1" s="2"/>
    </row>
    <row r="2" spans="1:13" x14ac:dyDescent="0.25">
      <c r="A2" s="1" t="s">
        <v>298</v>
      </c>
      <c r="B2" s="1"/>
      <c r="C2" s="1"/>
      <c r="D2" s="1"/>
      <c r="E2" s="1"/>
      <c r="F2" s="1"/>
      <c r="G2" s="1"/>
      <c r="H2" s="1"/>
      <c r="I2" s="1"/>
      <c r="J2" s="1"/>
    </row>
    <row r="4" spans="1:13" ht="30" customHeight="1" x14ac:dyDescent="0.25">
      <c r="A4" s="15" t="s">
        <v>299</v>
      </c>
      <c r="B4" s="15" t="s">
        <v>300</v>
      </c>
      <c r="C4" s="15" t="s">
        <v>301</v>
      </c>
      <c r="D4" s="15" t="s">
        <v>257</v>
      </c>
      <c r="E4" s="15" t="s">
        <v>258</v>
      </c>
      <c r="F4" s="15" t="s">
        <v>259</v>
      </c>
      <c r="G4" s="15" t="s">
        <v>260</v>
      </c>
      <c r="H4" s="15" t="s">
        <v>261</v>
      </c>
      <c r="I4" s="15" t="s">
        <v>262</v>
      </c>
      <c r="J4" s="15" t="s">
        <v>263</v>
      </c>
      <c r="L4" s="16" t="s">
        <v>302</v>
      </c>
      <c r="M4" s="20">
        <v>67</v>
      </c>
    </row>
    <row r="5" spans="1:13" x14ac:dyDescent="0.25">
      <c r="A5" s="18" t="s">
        <v>140</v>
      </c>
      <c r="B5" s="18">
        <v>1</v>
      </c>
      <c r="C5" s="18">
        <v>1</v>
      </c>
      <c r="D5" s="18" t="s">
        <v>303</v>
      </c>
      <c r="E5" s="21">
        <v>3</v>
      </c>
      <c r="F5" s="21">
        <v>2</v>
      </c>
      <c r="G5" s="19">
        <f>E5</f>
        <v>3</v>
      </c>
      <c r="H5" s="19">
        <f>F5</f>
        <v>2</v>
      </c>
      <c r="I5" s="19">
        <f t="shared" ref="I5:I36" si="0">$M$6-G5</f>
        <v>153</v>
      </c>
      <c r="J5" s="19">
        <f t="shared" ref="J5:J36" si="1">$M$6-H5</f>
        <v>154</v>
      </c>
      <c r="L5" s="16" t="s">
        <v>304</v>
      </c>
      <c r="M5" s="17">
        <f>Burn_Up_Down!$K$4</f>
        <v>89</v>
      </c>
    </row>
    <row r="6" spans="1:13" x14ac:dyDescent="0.25">
      <c r="A6" s="18" t="s">
        <v>140</v>
      </c>
      <c r="B6" s="18">
        <v>2</v>
      </c>
      <c r="C6" s="18">
        <v>2</v>
      </c>
      <c r="D6" s="18" t="s">
        <v>305</v>
      </c>
      <c r="E6" s="21">
        <v>5.6666999999999996</v>
      </c>
      <c r="F6" s="21">
        <v>11</v>
      </c>
      <c r="G6" s="19">
        <f t="shared" ref="G6:G53" si="2">G5+E6</f>
        <v>8.6666999999999987</v>
      </c>
      <c r="H6" s="19">
        <f t="shared" ref="H6:H53" si="3">H5+F6</f>
        <v>13</v>
      </c>
      <c r="I6" s="19">
        <f t="shared" si="0"/>
        <v>147.33330000000001</v>
      </c>
      <c r="J6" s="19">
        <f t="shared" si="1"/>
        <v>143</v>
      </c>
      <c r="L6" s="16" t="s">
        <v>306</v>
      </c>
      <c r="M6" s="17">
        <f>M4+M5</f>
        <v>156</v>
      </c>
    </row>
    <row r="7" spans="1:13" x14ac:dyDescent="0.25">
      <c r="A7" s="18" t="s">
        <v>140</v>
      </c>
      <c r="B7" s="18">
        <v>3</v>
      </c>
      <c r="C7" s="18">
        <v>3</v>
      </c>
      <c r="D7" s="18" t="s">
        <v>307</v>
      </c>
      <c r="E7" s="21">
        <v>0</v>
      </c>
      <c r="F7" s="21">
        <v>0</v>
      </c>
      <c r="G7" s="19">
        <f t="shared" si="2"/>
        <v>8.6666999999999987</v>
      </c>
      <c r="H7" s="19">
        <f t="shared" si="3"/>
        <v>13</v>
      </c>
      <c r="I7" s="19">
        <f t="shared" si="0"/>
        <v>147.33330000000001</v>
      </c>
      <c r="J7" s="19">
        <f t="shared" si="1"/>
        <v>143</v>
      </c>
    </row>
    <row r="8" spans="1:13" x14ac:dyDescent="0.25">
      <c r="A8" s="18" t="s">
        <v>140</v>
      </c>
      <c r="B8" s="18">
        <v>4</v>
      </c>
      <c r="C8" s="18">
        <v>4</v>
      </c>
      <c r="D8" s="18" t="s">
        <v>308</v>
      </c>
      <c r="E8" s="21">
        <v>3</v>
      </c>
      <c r="F8" s="21">
        <v>2</v>
      </c>
      <c r="G8" s="19">
        <f t="shared" si="2"/>
        <v>11.666699999999999</v>
      </c>
      <c r="H8" s="19">
        <f t="shared" si="3"/>
        <v>15</v>
      </c>
      <c r="I8" s="19">
        <f t="shared" si="0"/>
        <v>144.33330000000001</v>
      </c>
      <c r="J8" s="19">
        <f t="shared" si="1"/>
        <v>141</v>
      </c>
    </row>
    <row r="9" spans="1:13" x14ac:dyDescent="0.25">
      <c r="A9" s="18" t="s">
        <v>140</v>
      </c>
      <c r="B9" s="18">
        <v>5</v>
      </c>
      <c r="C9" s="18">
        <v>5</v>
      </c>
      <c r="D9" s="18" t="s">
        <v>309</v>
      </c>
      <c r="E9" s="21">
        <v>2</v>
      </c>
      <c r="F9" s="21">
        <v>2</v>
      </c>
      <c r="G9" s="19">
        <f t="shared" si="2"/>
        <v>13.666699999999999</v>
      </c>
      <c r="H9" s="19">
        <f t="shared" si="3"/>
        <v>17</v>
      </c>
      <c r="I9" s="19">
        <f t="shared" si="0"/>
        <v>142.33330000000001</v>
      </c>
      <c r="J9" s="19">
        <f t="shared" si="1"/>
        <v>139</v>
      </c>
    </row>
    <row r="10" spans="1:13" x14ac:dyDescent="0.25">
      <c r="A10" s="18" t="s">
        <v>140</v>
      </c>
      <c r="B10" s="18">
        <v>6</v>
      </c>
      <c r="C10" s="18">
        <v>6</v>
      </c>
      <c r="D10" s="18" t="s">
        <v>310</v>
      </c>
      <c r="E10" s="21">
        <v>0</v>
      </c>
      <c r="F10" s="21">
        <v>0</v>
      </c>
      <c r="G10" s="19">
        <f t="shared" si="2"/>
        <v>13.666699999999999</v>
      </c>
      <c r="H10" s="19">
        <f t="shared" si="3"/>
        <v>17</v>
      </c>
      <c r="I10" s="19">
        <f t="shared" si="0"/>
        <v>142.33330000000001</v>
      </c>
      <c r="J10" s="19">
        <f t="shared" si="1"/>
        <v>139</v>
      </c>
    </row>
    <row r="11" spans="1:13" x14ac:dyDescent="0.25">
      <c r="A11" s="18" t="s">
        <v>140</v>
      </c>
      <c r="B11" s="18">
        <v>7</v>
      </c>
      <c r="C11" s="18">
        <v>7</v>
      </c>
      <c r="D11" s="18" t="s">
        <v>311</v>
      </c>
      <c r="E11" s="21">
        <v>5.1666999999999996</v>
      </c>
      <c r="F11" s="21">
        <v>10</v>
      </c>
      <c r="G11" s="19">
        <f t="shared" si="2"/>
        <v>18.833399999999997</v>
      </c>
      <c r="H11" s="19">
        <f t="shared" si="3"/>
        <v>27</v>
      </c>
      <c r="I11" s="19">
        <f t="shared" si="0"/>
        <v>137.16660000000002</v>
      </c>
      <c r="J11" s="19">
        <f t="shared" si="1"/>
        <v>129</v>
      </c>
    </row>
    <row r="12" spans="1:13" x14ac:dyDescent="0.25">
      <c r="A12" s="18" t="s">
        <v>140</v>
      </c>
      <c r="B12" s="18">
        <v>8</v>
      </c>
      <c r="C12" s="18">
        <v>8</v>
      </c>
      <c r="D12" s="18" t="s">
        <v>312</v>
      </c>
      <c r="E12" s="21">
        <v>2</v>
      </c>
      <c r="F12" s="21">
        <v>1</v>
      </c>
      <c r="G12" s="19">
        <f t="shared" si="2"/>
        <v>20.833399999999997</v>
      </c>
      <c r="H12" s="19">
        <f t="shared" si="3"/>
        <v>28</v>
      </c>
      <c r="I12" s="19">
        <f t="shared" si="0"/>
        <v>135.16660000000002</v>
      </c>
      <c r="J12" s="19">
        <f t="shared" si="1"/>
        <v>128</v>
      </c>
    </row>
    <row r="13" spans="1:13" x14ac:dyDescent="0.25">
      <c r="A13" s="18" t="s">
        <v>140</v>
      </c>
      <c r="B13" s="18">
        <v>9</v>
      </c>
      <c r="C13" s="18">
        <v>9</v>
      </c>
      <c r="D13" s="18" t="s">
        <v>313</v>
      </c>
      <c r="E13" s="21">
        <v>6</v>
      </c>
      <c r="F13" s="21">
        <v>5</v>
      </c>
      <c r="G13" s="19">
        <f t="shared" si="2"/>
        <v>26.833399999999997</v>
      </c>
      <c r="H13" s="19">
        <f t="shared" si="3"/>
        <v>33</v>
      </c>
      <c r="I13" s="19">
        <f t="shared" si="0"/>
        <v>129.16660000000002</v>
      </c>
      <c r="J13" s="19">
        <f t="shared" si="1"/>
        <v>123</v>
      </c>
    </row>
    <row r="14" spans="1:13" x14ac:dyDescent="0.25">
      <c r="A14" s="18" t="s">
        <v>140</v>
      </c>
      <c r="B14" s="18">
        <v>10</v>
      </c>
      <c r="C14" s="18">
        <v>10</v>
      </c>
      <c r="D14" s="18" t="s">
        <v>314</v>
      </c>
      <c r="E14" s="21">
        <v>0</v>
      </c>
      <c r="F14" s="21">
        <v>0</v>
      </c>
      <c r="G14" s="19">
        <f t="shared" si="2"/>
        <v>26.833399999999997</v>
      </c>
      <c r="H14" s="19">
        <f t="shared" si="3"/>
        <v>33</v>
      </c>
      <c r="I14" s="19">
        <f t="shared" si="0"/>
        <v>129.16660000000002</v>
      </c>
      <c r="J14" s="19">
        <f t="shared" si="1"/>
        <v>123</v>
      </c>
    </row>
    <row r="15" spans="1:13" x14ac:dyDescent="0.25">
      <c r="A15" s="18" t="s">
        <v>140</v>
      </c>
      <c r="B15" s="18">
        <v>11</v>
      </c>
      <c r="C15" s="18">
        <v>11</v>
      </c>
      <c r="D15" s="18" t="s">
        <v>315</v>
      </c>
      <c r="E15" s="21">
        <v>4</v>
      </c>
      <c r="F15" s="21">
        <v>2</v>
      </c>
      <c r="G15" s="19">
        <f t="shared" si="2"/>
        <v>30.833399999999997</v>
      </c>
      <c r="H15" s="19">
        <f t="shared" si="3"/>
        <v>35</v>
      </c>
      <c r="I15" s="19">
        <f t="shared" si="0"/>
        <v>125.1666</v>
      </c>
      <c r="J15" s="19">
        <f t="shared" si="1"/>
        <v>121</v>
      </c>
    </row>
    <row r="16" spans="1:13" x14ac:dyDescent="0.25">
      <c r="A16" s="18" t="s">
        <v>140</v>
      </c>
      <c r="B16" s="18">
        <v>12</v>
      </c>
      <c r="C16" s="18">
        <v>12</v>
      </c>
      <c r="D16" s="18" t="s">
        <v>316</v>
      </c>
      <c r="E16" s="21">
        <v>2.5</v>
      </c>
      <c r="F16" s="21">
        <v>2</v>
      </c>
      <c r="G16" s="19">
        <f t="shared" si="2"/>
        <v>33.333399999999997</v>
      </c>
      <c r="H16" s="19">
        <f t="shared" si="3"/>
        <v>37</v>
      </c>
      <c r="I16" s="19">
        <f t="shared" si="0"/>
        <v>122.6666</v>
      </c>
      <c r="J16" s="19">
        <f t="shared" si="1"/>
        <v>119</v>
      </c>
    </row>
    <row r="17" spans="1:10" x14ac:dyDescent="0.25">
      <c r="A17" s="18" t="s">
        <v>140</v>
      </c>
      <c r="B17" s="18">
        <v>13</v>
      </c>
      <c r="C17" s="18">
        <v>13</v>
      </c>
      <c r="D17" s="18" t="s">
        <v>317</v>
      </c>
      <c r="E17" s="21">
        <v>5</v>
      </c>
      <c r="F17" s="21">
        <v>2</v>
      </c>
      <c r="G17" s="19">
        <f t="shared" si="2"/>
        <v>38.333399999999997</v>
      </c>
      <c r="H17" s="19">
        <f t="shared" si="3"/>
        <v>39</v>
      </c>
      <c r="I17" s="19">
        <f t="shared" si="0"/>
        <v>117.6666</v>
      </c>
      <c r="J17" s="19">
        <f t="shared" si="1"/>
        <v>117</v>
      </c>
    </row>
    <row r="18" spans="1:10" x14ac:dyDescent="0.25">
      <c r="A18" s="18" t="s">
        <v>140</v>
      </c>
      <c r="B18" s="18">
        <v>14</v>
      </c>
      <c r="C18" s="18">
        <v>14</v>
      </c>
      <c r="D18" s="18" t="s">
        <v>318</v>
      </c>
      <c r="E18" s="21">
        <v>3.6667000000000001</v>
      </c>
      <c r="F18" s="21">
        <v>3</v>
      </c>
      <c r="G18" s="19">
        <f t="shared" si="2"/>
        <v>42.000099999999996</v>
      </c>
      <c r="H18" s="19">
        <f t="shared" si="3"/>
        <v>42</v>
      </c>
      <c r="I18" s="19">
        <f t="shared" si="0"/>
        <v>113.9999</v>
      </c>
      <c r="J18" s="19">
        <f t="shared" si="1"/>
        <v>114</v>
      </c>
    </row>
    <row r="19" spans="1:10" x14ac:dyDescent="0.25">
      <c r="A19" s="18" t="s">
        <v>140</v>
      </c>
      <c r="B19" s="18">
        <v>15</v>
      </c>
      <c r="C19" s="18">
        <v>15</v>
      </c>
      <c r="D19" s="18" t="s">
        <v>319</v>
      </c>
      <c r="E19" s="21">
        <v>10.166700000000001</v>
      </c>
      <c r="F19" s="21">
        <v>7</v>
      </c>
      <c r="G19" s="19">
        <f t="shared" si="2"/>
        <v>52.166799999999995</v>
      </c>
      <c r="H19" s="19">
        <f t="shared" si="3"/>
        <v>49</v>
      </c>
      <c r="I19" s="19">
        <f t="shared" si="0"/>
        <v>103.83320000000001</v>
      </c>
      <c r="J19" s="19">
        <f t="shared" si="1"/>
        <v>107</v>
      </c>
    </row>
    <row r="20" spans="1:10" x14ac:dyDescent="0.25">
      <c r="A20" s="18" t="s">
        <v>140</v>
      </c>
      <c r="B20" s="18">
        <v>16</v>
      </c>
      <c r="C20" s="18">
        <v>16</v>
      </c>
      <c r="D20" s="18" t="s">
        <v>320</v>
      </c>
      <c r="E20" s="21">
        <v>6.6666999999999996</v>
      </c>
      <c r="F20" s="21">
        <v>5</v>
      </c>
      <c r="G20" s="19">
        <f t="shared" si="2"/>
        <v>58.833499999999994</v>
      </c>
      <c r="H20" s="19">
        <f t="shared" si="3"/>
        <v>54</v>
      </c>
      <c r="I20" s="19">
        <f t="shared" si="0"/>
        <v>97.166500000000013</v>
      </c>
      <c r="J20" s="19">
        <f t="shared" si="1"/>
        <v>102</v>
      </c>
    </row>
    <row r="21" spans="1:10" ht="15.75" customHeight="1" x14ac:dyDescent="0.25">
      <c r="A21" s="18" t="s">
        <v>140</v>
      </c>
      <c r="B21" s="18">
        <v>17</v>
      </c>
      <c r="C21" s="18">
        <v>17</v>
      </c>
      <c r="D21" s="18" t="s">
        <v>321</v>
      </c>
      <c r="E21" s="21">
        <v>8.1667000000000005</v>
      </c>
      <c r="F21" s="21">
        <v>8</v>
      </c>
      <c r="G21" s="19">
        <f t="shared" si="2"/>
        <v>67.000199999999992</v>
      </c>
      <c r="H21" s="19">
        <f t="shared" si="3"/>
        <v>62</v>
      </c>
      <c r="I21" s="19">
        <f t="shared" si="0"/>
        <v>88.999800000000008</v>
      </c>
      <c r="J21" s="19">
        <f t="shared" si="1"/>
        <v>94</v>
      </c>
    </row>
    <row r="22" spans="1:10" ht="15.75" customHeight="1" x14ac:dyDescent="0.25">
      <c r="A22" s="18" t="s">
        <v>189</v>
      </c>
      <c r="B22" s="18">
        <v>1</v>
      </c>
      <c r="C22" s="18">
        <v>18</v>
      </c>
      <c r="D22" s="18" t="str">
        <f>Burn_Up_Down!B5</f>
        <v>2026-08-10</v>
      </c>
      <c r="E22" s="19">
        <f>Burn_Up_Down!C5</f>
        <v>4.4166999999999996</v>
      </c>
      <c r="F22" s="19">
        <f>Burn_Up_Down!D5</f>
        <v>3.5</v>
      </c>
      <c r="G22" s="19">
        <f t="shared" si="2"/>
        <v>71.416899999999998</v>
      </c>
      <c r="H22" s="19">
        <f t="shared" si="3"/>
        <v>65.5</v>
      </c>
      <c r="I22" s="19">
        <f t="shared" si="0"/>
        <v>84.583100000000002</v>
      </c>
      <c r="J22" s="19">
        <f t="shared" si="1"/>
        <v>90.5</v>
      </c>
    </row>
    <row r="23" spans="1:10" ht="15.75" customHeight="1" x14ac:dyDescent="0.25">
      <c r="A23" s="18" t="s">
        <v>189</v>
      </c>
      <c r="B23" s="18">
        <v>2</v>
      </c>
      <c r="C23" s="18">
        <v>19</v>
      </c>
      <c r="D23" s="18" t="str">
        <f>Burn_Up_Down!B6</f>
        <v>2026-08-11</v>
      </c>
      <c r="E23" s="19">
        <f>Burn_Up_Down!C6</f>
        <v>1</v>
      </c>
      <c r="F23" s="19">
        <f>Burn_Up_Down!D6</f>
        <v>1</v>
      </c>
      <c r="G23" s="19">
        <f t="shared" si="2"/>
        <v>72.416899999999998</v>
      </c>
      <c r="H23" s="19">
        <f t="shared" si="3"/>
        <v>66.5</v>
      </c>
      <c r="I23" s="19">
        <f t="shared" si="0"/>
        <v>83.583100000000002</v>
      </c>
      <c r="J23" s="19">
        <f t="shared" si="1"/>
        <v>89.5</v>
      </c>
    </row>
    <row r="24" spans="1:10" ht="15.75" customHeight="1" x14ac:dyDescent="0.25">
      <c r="A24" s="18" t="s">
        <v>189</v>
      </c>
      <c r="B24" s="18">
        <v>3</v>
      </c>
      <c r="C24" s="18">
        <v>20</v>
      </c>
      <c r="D24" s="18" t="str">
        <f>Burn_Up_Down!B7</f>
        <v>2026-08-12</v>
      </c>
      <c r="E24" s="19">
        <f>Burn_Up_Down!C7</f>
        <v>2.6667000000000001</v>
      </c>
      <c r="F24" s="19">
        <f>Burn_Up_Down!D7</f>
        <v>2.5</v>
      </c>
      <c r="G24" s="19">
        <f t="shared" si="2"/>
        <v>75.083600000000004</v>
      </c>
      <c r="H24" s="19">
        <f t="shared" si="3"/>
        <v>69</v>
      </c>
      <c r="I24" s="19">
        <f t="shared" si="0"/>
        <v>80.916399999999996</v>
      </c>
      <c r="J24" s="19">
        <f t="shared" si="1"/>
        <v>87</v>
      </c>
    </row>
    <row r="25" spans="1:10" ht="15.75" customHeight="1" x14ac:dyDescent="0.25">
      <c r="A25" s="18" t="s">
        <v>189</v>
      </c>
      <c r="B25" s="18">
        <v>4</v>
      </c>
      <c r="C25" s="18">
        <v>21</v>
      </c>
      <c r="D25" s="18" t="str">
        <f>Burn_Up_Down!B8</f>
        <v>2026-08-13</v>
      </c>
      <c r="E25" s="19">
        <f>Burn_Up_Down!C8</f>
        <v>4</v>
      </c>
      <c r="F25" s="19">
        <f>Burn_Up_Down!D8</f>
        <v>3</v>
      </c>
      <c r="G25" s="19">
        <f t="shared" si="2"/>
        <v>79.083600000000004</v>
      </c>
      <c r="H25" s="19">
        <f t="shared" si="3"/>
        <v>72</v>
      </c>
      <c r="I25" s="19">
        <f t="shared" si="0"/>
        <v>76.916399999999996</v>
      </c>
      <c r="J25" s="19">
        <f t="shared" si="1"/>
        <v>84</v>
      </c>
    </row>
    <row r="26" spans="1:10" ht="15.75" customHeight="1" x14ac:dyDescent="0.25">
      <c r="A26" s="18" t="s">
        <v>189</v>
      </c>
      <c r="B26" s="18">
        <v>5</v>
      </c>
      <c r="C26" s="18">
        <v>22</v>
      </c>
      <c r="D26" s="18" t="str">
        <f>Burn_Up_Down!B9</f>
        <v>2026-08-14</v>
      </c>
      <c r="E26" s="19">
        <f>Burn_Up_Down!C9</f>
        <v>7.6666999999999996</v>
      </c>
      <c r="F26" s="19">
        <f>Burn_Up_Down!D9</f>
        <v>4.5</v>
      </c>
      <c r="G26" s="19">
        <f t="shared" si="2"/>
        <v>86.75030000000001</v>
      </c>
      <c r="H26" s="19">
        <f t="shared" si="3"/>
        <v>76.5</v>
      </c>
      <c r="I26" s="19">
        <f t="shared" si="0"/>
        <v>69.24969999999999</v>
      </c>
      <c r="J26" s="19">
        <f t="shared" si="1"/>
        <v>79.5</v>
      </c>
    </row>
    <row r="27" spans="1:10" ht="15.75" customHeight="1" x14ac:dyDescent="0.25">
      <c r="A27" s="18" t="s">
        <v>189</v>
      </c>
      <c r="B27" s="18">
        <v>6</v>
      </c>
      <c r="C27" s="18">
        <v>23</v>
      </c>
      <c r="D27" s="18" t="str">
        <f>Burn_Up_Down!B10</f>
        <v>2026-08-15</v>
      </c>
      <c r="E27" s="19">
        <f>Burn_Up_Down!C10</f>
        <v>0</v>
      </c>
      <c r="F27" s="19">
        <f>Burn_Up_Down!D10</f>
        <v>0</v>
      </c>
      <c r="G27" s="19">
        <f t="shared" si="2"/>
        <v>86.75030000000001</v>
      </c>
      <c r="H27" s="19">
        <f t="shared" si="3"/>
        <v>76.5</v>
      </c>
      <c r="I27" s="19">
        <f t="shared" si="0"/>
        <v>69.24969999999999</v>
      </c>
      <c r="J27" s="19">
        <f t="shared" si="1"/>
        <v>79.5</v>
      </c>
    </row>
    <row r="28" spans="1:10" ht="15.75" customHeight="1" x14ac:dyDescent="0.25">
      <c r="A28" s="18" t="s">
        <v>189</v>
      </c>
      <c r="B28" s="18">
        <v>7</v>
      </c>
      <c r="C28" s="18">
        <v>24</v>
      </c>
      <c r="D28" s="18" t="str">
        <f>Burn_Up_Down!B11</f>
        <v>2026-08-16</v>
      </c>
      <c r="E28" s="19">
        <f>Burn_Up_Down!C11</f>
        <v>0</v>
      </c>
      <c r="F28" s="19">
        <f>Burn_Up_Down!D11</f>
        <v>0</v>
      </c>
      <c r="G28" s="19">
        <f t="shared" si="2"/>
        <v>86.75030000000001</v>
      </c>
      <c r="H28" s="19">
        <f t="shared" si="3"/>
        <v>76.5</v>
      </c>
      <c r="I28" s="19">
        <f t="shared" si="0"/>
        <v>69.24969999999999</v>
      </c>
      <c r="J28" s="19">
        <f t="shared" si="1"/>
        <v>79.5</v>
      </c>
    </row>
    <row r="29" spans="1:10" ht="15.75" customHeight="1" x14ac:dyDescent="0.25">
      <c r="A29" s="18" t="s">
        <v>189</v>
      </c>
      <c r="B29" s="18">
        <v>8</v>
      </c>
      <c r="C29" s="18">
        <v>25</v>
      </c>
      <c r="D29" s="18" t="str">
        <f>Burn_Up_Down!B12</f>
        <v>2026-08-17</v>
      </c>
      <c r="E29" s="19">
        <f>Burn_Up_Down!C12</f>
        <v>3.75</v>
      </c>
      <c r="F29" s="19">
        <f>Burn_Up_Down!D12</f>
        <v>2</v>
      </c>
      <c r="G29" s="19">
        <f t="shared" si="2"/>
        <v>90.50030000000001</v>
      </c>
      <c r="H29" s="19">
        <f t="shared" si="3"/>
        <v>78.5</v>
      </c>
      <c r="I29" s="19">
        <f t="shared" si="0"/>
        <v>65.49969999999999</v>
      </c>
      <c r="J29" s="19">
        <f t="shared" si="1"/>
        <v>77.5</v>
      </c>
    </row>
    <row r="30" spans="1:10" ht="15.75" customHeight="1" x14ac:dyDescent="0.25">
      <c r="A30" s="18" t="s">
        <v>189</v>
      </c>
      <c r="B30" s="18">
        <v>9</v>
      </c>
      <c r="C30" s="18">
        <v>26</v>
      </c>
      <c r="D30" s="18" t="str">
        <f>Burn_Up_Down!B13</f>
        <v>2026-08-18</v>
      </c>
      <c r="E30" s="19">
        <f>Burn_Up_Down!C13</f>
        <v>6.6666999999999996</v>
      </c>
      <c r="F30" s="19">
        <f>Burn_Up_Down!D13</f>
        <v>4</v>
      </c>
      <c r="G30" s="19">
        <f t="shared" si="2"/>
        <v>97.167000000000016</v>
      </c>
      <c r="H30" s="19">
        <f t="shared" si="3"/>
        <v>82.5</v>
      </c>
      <c r="I30" s="19">
        <f t="shared" si="0"/>
        <v>58.832999999999984</v>
      </c>
      <c r="J30" s="19">
        <f t="shared" si="1"/>
        <v>73.5</v>
      </c>
    </row>
    <row r="31" spans="1:10" ht="15.75" customHeight="1" x14ac:dyDescent="0.25">
      <c r="A31" s="18" t="s">
        <v>189</v>
      </c>
      <c r="B31" s="18">
        <v>10</v>
      </c>
      <c r="C31" s="18">
        <v>27</v>
      </c>
      <c r="D31" s="18" t="str">
        <f>Burn_Up_Down!B14</f>
        <v>2026-08-19</v>
      </c>
      <c r="E31" s="19">
        <f>Burn_Up_Down!C14</f>
        <v>6.6666999999999996</v>
      </c>
      <c r="F31" s="19">
        <f>Burn_Up_Down!D14</f>
        <v>4</v>
      </c>
      <c r="G31" s="19">
        <f t="shared" si="2"/>
        <v>103.83370000000002</v>
      </c>
      <c r="H31" s="19">
        <f t="shared" si="3"/>
        <v>86.5</v>
      </c>
      <c r="I31" s="19">
        <f t="shared" si="0"/>
        <v>52.166299999999978</v>
      </c>
      <c r="J31" s="19">
        <f t="shared" si="1"/>
        <v>69.5</v>
      </c>
    </row>
    <row r="32" spans="1:10" ht="15.75" customHeight="1" x14ac:dyDescent="0.25">
      <c r="A32" s="18" t="s">
        <v>189</v>
      </c>
      <c r="B32" s="18">
        <v>11</v>
      </c>
      <c r="C32" s="18">
        <v>28</v>
      </c>
      <c r="D32" s="18" t="str">
        <f>Burn_Up_Down!B15</f>
        <v>2026-08-20</v>
      </c>
      <c r="E32" s="19">
        <f>Burn_Up_Down!C15</f>
        <v>6.6666999999999996</v>
      </c>
      <c r="F32" s="19">
        <f>Burn_Up_Down!D15</f>
        <v>4</v>
      </c>
      <c r="G32" s="19">
        <f t="shared" si="2"/>
        <v>110.50040000000003</v>
      </c>
      <c r="H32" s="19">
        <f t="shared" si="3"/>
        <v>90.5</v>
      </c>
      <c r="I32" s="19">
        <f t="shared" si="0"/>
        <v>45.499599999999973</v>
      </c>
      <c r="J32" s="19">
        <f t="shared" si="1"/>
        <v>65.5</v>
      </c>
    </row>
    <row r="33" spans="1:10" ht="15.75" customHeight="1" x14ac:dyDescent="0.25">
      <c r="A33" s="18" t="s">
        <v>189</v>
      </c>
      <c r="B33" s="18">
        <v>12</v>
      </c>
      <c r="C33" s="18">
        <v>29</v>
      </c>
      <c r="D33" s="18" t="str">
        <f>Burn_Up_Down!B16</f>
        <v>2026-08-21</v>
      </c>
      <c r="E33" s="19">
        <f>Burn_Up_Down!C16</f>
        <v>0</v>
      </c>
      <c r="F33" s="19">
        <f>Burn_Up_Down!D16</f>
        <v>0</v>
      </c>
      <c r="G33" s="19">
        <f t="shared" si="2"/>
        <v>110.50040000000003</v>
      </c>
      <c r="H33" s="19">
        <f t="shared" si="3"/>
        <v>90.5</v>
      </c>
      <c r="I33" s="19">
        <f t="shared" si="0"/>
        <v>45.499599999999973</v>
      </c>
      <c r="J33" s="19">
        <f t="shared" si="1"/>
        <v>65.5</v>
      </c>
    </row>
    <row r="34" spans="1:10" ht="15.75" customHeight="1" x14ac:dyDescent="0.25">
      <c r="A34" s="18" t="s">
        <v>189</v>
      </c>
      <c r="B34" s="18">
        <v>13</v>
      </c>
      <c r="C34" s="18">
        <v>30</v>
      </c>
      <c r="D34" s="18" t="str">
        <f>Burn_Up_Down!B17</f>
        <v>2026-08-22</v>
      </c>
      <c r="E34" s="19">
        <f>Burn_Up_Down!C17</f>
        <v>0</v>
      </c>
      <c r="F34" s="19">
        <f>Burn_Up_Down!D17</f>
        <v>0</v>
      </c>
      <c r="G34" s="19">
        <f t="shared" si="2"/>
        <v>110.50040000000003</v>
      </c>
      <c r="H34" s="19">
        <f t="shared" si="3"/>
        <v>90.5</v>
      </c>
      <c r="I34" s="19">
        <f t="shared" si="0"/>
        <v>45.499599999999973</v>
      </c>
      <c r="J34" s="19">
        <f t="shared" si="1"/>
        <v>65.5</v>
      </c>
    </row>
    <row r="35" spans="1:10" ht="15.75" customHeight="1" x14ac:dyDescent="0.25">
      <c r="A35" s="18" t="s">
        <v>189</v>
      </c>
      <c r="B35" s="18">
        <v>14</v>
      </c>
      <c r="C35" s="18">
        <v>31</v>
      </c>
      <c r="D35" s="18" t="str">
        <f>Burn_Up_Down!B18</f>
        <v>2026-08-23</v>
      </c>
      <c r="E35" s="19">
        <f>Burn_Up_Down!C18</f>
        <v>0</v>
      </c>
      <c r="F35" s="19">
        <f>Burn_Up_Down!D18</f>
        <v>0</v>
      </c>
      <c r="G35" s="19">
        <f t="shared" si="2"/>
        <v>110.50040000000003</v>
      </c>
      <c r="H35" s="19">
        <f t="shared" si="3"/>
        <v>90.5</v>
      </c>
      <c r="I35" s="19">
        <f t="shared" si="0"/>
        <v>45.499599999999973</v>
      </c>
      <c r="J35" s="19">
        <f t="shared" si="1"/>
        <v>65.5</v>
      </c>
    </row>
    <row r="36" spans="1:10" ht="15.75" customHeight="1" x14ac:dyDescent="0.25">
      <c r="A36" s="18" t="s">
        <v>189</v>
      </c>
      <c r="B36" s="18">
        <v>15</v>
      </c>
      <c r="C36" s="18">
        <v>32</v>
      </c>
      <c r="D36" s="18" t="str">
        <f>Burn_Up_Down!B19</f>
        <v>2026-08-24</v>
      </c>
      <c r="E36" s="19">
        <f>Burn_Up_Down!C19</f>
        <v>4.75</v>
      </c>
      <c r="F36" s="19">
        <f>Burn_Up_Down!D19</f>
        <v>3.5</v>
      </c>
      <c r="G36" s="19">
        <f t="shared" si="2"/>
        <v>115.25040000000003</v>
      </c>
      <c r="H36" s="19">
        <f t="shared" si="3"/>
        <v>94</v>
      </c>
      <c r="I36" s="19">
        <f t="shared" si="0"/>
        <v>40.749599999999973</v>
      </c>
      <c r="J36" s="19">
        <f t="shared" si="1"/>
        <v>62</v>
      </c>
    </row>
    <row r="37" spans="1:10" ht="15.75" customHeight="1" x14ac:dyDescent="0.25">
      <c r="A37" s="18" t="s">
        <v>189</v>
      </c>
      <c r="B37" s="18">
        <v>16</v>
      </c>
      <c r="C37" s="18">
        <v>33</v>
      </c>
      <c r="D37" s="18" t="str">
        <f>Burn_Up_Down!B20</f>
        <v>2026-08-25</v>
      </c>
      <c r="E37" s="19">
        <f>Burn_Up_Down!C20</f>
        <v>3</v>
      </c>
      <c r="F37" s="19">
        <f>Burn_Up_Down!D20</f>
        <v>2</v>
      </c>
      <c r="G37" s="19">
        <f t="shared" si="2"/>
        <v>118.25040000000003</v>
      </c>
      <c r="H37" s="19">
        <f t="shared" si="3"/>
        <v>96</v>
      </c>
      <c r="I37" s="19">
        <f t="shared" ref="I37:I53" si="4">$M$6-G37</f>
        <v>37.749599999999973</v>
      </c>
      <c r="J37" s="19">
        <f t="shared" ref="J37:J53" si="5">$M$6-H37</f>
        <v>60</v>
      </c>
    </row>
    <row r="38" spans="1:10" ht="15.75" customHeight="1" x14ac:dyDescent="0.25">
      <c r="A38" s="18" t="s">
        <v>189</v>
      </c>
      <c r="B38" s="18">
        <v>17</v>
      </c>
      <c r="C38" s="18">
        <v>34</v>
      </c>
      <c r="D38" s="18" t="str">
        <f>Burn_Up_Down!B21</f>
        <v>2026-08-26</v>
      </c>
      <c r="E38" s="19">
        <f>Burn_Up_Down!C21</f>
        <v>1.5</v>
      </c>
      <c r="F38" s="19">
        <f>Burn_Up_Down!D21</f>
        <v>1.5</v>
      </c>
      <c r="G38" s="19">
        <f t="shared" si="2"/>
        <v>119.75040000000003</v>
      </c>
      <c r="H38" s="19">
        <f t="shared" si="3"/>
        <v>97.5</v>
      </c>
      <c r="I38" s="19">
        <f t="shared" si="4"/>
        <v>36.249599999999973</v>
      </c>
      <c r="J38" s="19">
        <f t="shared" si="5"/>
        <v>58.5</v>
      </c>
    </row>
    <row r="39" spans="1:10" ht="15.75" customHeight="1" x14ac:dyDescent="0.25">
      <c r="A39" s="18" t="s">
        <v>189</v>
      </c>
      <c r="B39" s="18">
        <v>18</v>
      </c>
      <c r="C39" s="18">
        <v>35</v>
      </c>
      <c r="D39" s="18" t="str">
        <f>Burn_Up_Down!B22</f>
        <v>2026-08-27</v>
      </c>
      <c r="E39" s="19">
        <f>Burn_Up_Down!C22</f>
        <v>1.5</v>
      </c>
      <c r="F39" s="19">
        <f>Burn_Up_Down!D22</f>
        <v>1</v>
      </c>
      <c r="G39" s="19">
        <f t="shared" si="2"/>
        <v>121.25040000000003</v>
      </c>
      <c r="H39" s="19">
        <f t="shared" si="3"/>
        <v>98.5</v>
      </c>
      <c r="I39" s="19">
        <f t="shared" si="4"/>
        <v>34.749599999999973</v>
      </c>
      <c r="J39" s="19">
        <f t="shared" si="5"/>
        <v>57.5</v>
      </c>
    </row>
    <row r="40" spans="1:10" ht="15.75" customHeight="1" x14ac:dyDescent="0.25">
      <c r="A40" s="18" t="s">
        <v>189</v>
      </c>
      <c r="B40" s="18">
        <v>19</v>
      </c>
      <c r="C40" s="18">
        <v>36</v>
      </c>
      <c r="D40" s="18" t="str">
        <f>Burn_Up_Down!B23</f>
        <v>2026-08-28</v>
      </c>
      <c r="E40" s="19">
        <f>Burn_Up_Down!C23</f>
        <v>4.5</v>
      </c>
      <c r="F40" s="19">
        <f>Burn_Up_Down!D23</f>
        <v>3</v>
      </c>
      <c r="G40" s="19">
        <f t="shared" si="2"/>
        <v>125.75040000000003</v>
      </c>
      <c r="H40" s="19">
        <f t="shared" si="3"/>
        <v>101.5</v>
      </c>
      <c r="I40" s="19">
        <f t="shared" si="4"/>
        <v>30.249599999999973</v>
      </c>
      <c r="J40" s="19">
        <f t="shared" si="5"/>
        <v>54.5</v>
      </c>
    </row>
    <row r="41" spans="1:10" ht="15.75" customHeight="1" x14ac:dyDescent="0.25">
      <c r="A41" s="18" t="s">
        <v>189</v>
      </c>
      <c r="B41" s="18">
        <v>20</v>
      </c>
      <c r="C41" s="18">
        <v>37</v>
      </c>
      <c r="D41" s="18" t="str">
        <f>Burn_Up_Down!B24</f>
        <v>2026-08-29</v>
      </c>
      <c r="E41" s="19">
        <f>Burn_Up_Down!C24</f>
        <v>0</v>
      </c>
      <c r="F41" s="19">
        <f>Burn_Up_Down!D24</f>
        <v>0</v>
      </c>
      <c r="G41" s="19">
        <f t="shared" si="2"/>
        <v>125.75040000000003</v>
      </c>
      <c r="H41" s="19">
        <f t="shared" si="3"/>
        <v>101.5</v>
      </c>
      <c r="I41" s="19">
        <f t="shared" si="4"/>
        <v>30.249599999999973</v>
      </c>
      <c r="J41" s="19">
        <f t="shared" si="5"/>
        <v>54.5</v>
      </c>
    </row>
    <row r="42" spans="1:10" ht="15.75" customHeight="1" x14ac:dyDescent="0.25">
      <c r="A42" s="18" t="s">
        <v>189</v>
      </c>
      <c r="B42" s="18">
        <v>21</v>
      </c>
      <c r="C42" s="18">
        <v>38</v>
      </c>
      <c r="D42" s="18" t="str">
        <f>Burn_Up_Down!B25</f>
        <v>2026-08-30</v>
      </c>
      <c r="E42" s="19">
        <f>Burn_Up_Down!C25</f>
        <v>0</v>
      </c>
      <c r="F42" s="19">
        <f>Burn_Up_Down!D25</f>
        <v>0</v>
      </c>
      <c r="G42" s="19">
        <f t="shared" si="2"/>
        <v>125.75040000000003</v>
      </c>
      <c r="H42" s="19">
        <f t="shared" si="3"/>
        <v>101.5</v>
      </c>
      <c r="I42" s="19">
        <f t="shared" si="4"/>
        <v>30.249599999999973</v>
      </c>
      <c r="J42" s="19">
        <f t="shared" si="5"/>
        <v>54.5</v>
      </c>
    </row>
    <row r="43" spans="1:10" ht="15.75" customHeight="1" x14ac:dyDescent="0.25">
      <c r="A43" s="18" t="s">
        <v>189</v>
      </c>
      <c r="B43" s="18">
        <v>22</v>
      </c>
      <c r="C43" s="18">
        <v>39</v>
      </c>
      <c r="D43" s="18" t="str">
        <f>Burn_Up_Down!B26</f>
        <v>2026-08-31</v>
      </c>
      <c r="E43" s="19">
        <f>Burn_Up_Down!C26</f>
        <v>2.25</v>
      </c>
      <c r="F43" s="19">
        <f>Burn_Up_Down!D26</f>
        <v>1.5</v>
      </c>
      <c r="G43" s="19">
        <f t="shared" si="2"/>
        <v>128.00040000000001</v>
      </c>
      <c r="H43" s="19">
        <f t="shared" si="3"/>
        <v>103</v>
      </c>
      <c r="I43" s="19">
        <f t="shared" si="4"/>
        <v>27.999599999999987</v>
      </c>
      <c r="J43" s="19">
        <f t="shared" si="5"/>
        <v>53</v>
      </c>
    </row>
    <row r="44" spans="1:10" ht="15.75" customHeight="1" x14ac:dyDescent="0.25">
      <c r="A44" s="18" t="s">
        <v>189</v>
      </c>
      <c r="B44" s="18">
        <v>23</v>
      </c>
      <c r="C44" s="18">
        <v>40</v>
      </c>
      <c r="D44" s="18" t="str">
        <f>Burn_Up_Down!B27</f>
        <v>2026-09-01</v>
      </c>
      <c r="E44" s="19">
        <f>Burn_Up_Down!C27</f>
        <v>3</v>
      </c>
      <c r="F44" s="19">
        <f>Burn_Up_Down!D27</f>
        <v>2.5</v>
      </c>
      <c r="G44" s="19">
        <f t="shared" si="2"/>
        <v>131.00040000000001</v>
      </c>
      <c r="H44" s="19">
        <f t="shared" si="3"/>
        <v>105.5</v>
      </c>
      <c r="I44" s="19">
        <f t="shared" si="4"/>
        <v>24.999599999999987</v>
      </c>
      <c r="J44" s="19">
        <f t="shared" si="5"/>
        <v>50.5</v>
      </c>
    </row>
    <row r="45" spans="1:10" ht="15.75" customHeight="1" x14ac:dyDescent="0.25">
      <c r="A45" s="18" t="s">
        <v>189</v>
      </c>
      <c r="B45" s="18">
        <v>24</v>
      </c>
      <c r="C45" s="18">
        <v>41</v>
      </c>
      <c r="D45" s="18" t="str">
        <f>Burn_Up_Down!B28</f>
        <v>2026-09-02</v>
      </c>
      <c r="E45" s="19">
        <f>Burn_Up_Down!C28</f>
        <v>3</v>
      </c>
      <c r="F45" s="19">
        <f>Burn_Up_Down!D28</f>
        <v>2</v>
      </c>
      <c r="G45" s="19">
        <f t="shared" si="2"/>
        <v>134.00040000000001</v>
      </c>
      <c r="H45" s="19">
        <f t="shared" si="3"/>
        <v>107.5</v>
      </c>
      <c r="I45" s="19">
        <f t="shared" si="4"/>
        <v>21.999599999999987</v>
      </c>
      <c r="J45" s="19">
        <f t="shared" si="5"/>
        <v>48.5</v>
      </c>
    </row>
    <row r="46" spans="1:10" ht="15.75" customHeight="1" x14ac:dyDescent="0.25">
      <c r="A46" s="18" t="s">
        <v>189</v>
      </c>
      <c r="B46" s="18">
        <v>25</v>
      </c>
      <c r="C46" s="18">
        <v>42</v>
      </c>
      <c r="D46" s="18" t="str">
        <f>Burn_Up_Down!B29</f>
        <v>2026-09-03</v>
      </c>
      <c r="E46" s="19">
        <f>Burn_Up_Down!C29</f>
        <v>3</v>
      </c>
      <c r="F46" s="19">
        <f>Burn_Up_Down!D29</f>
        <v>2</v>
      </c>
      <c r="G46" s="19">
        <f t="shared" si="2"/>
        <v>137.00040000000001</v>
      </c>
      <c r="H46" s="19">
        <f t="shared" si="3"/>
        <v>109.5</v>
      </c>
      <c r="I46" s="19">
        <f t="shared" si="4"/>
        <v>18.999599999999987</v>
      </c>
      <c r="J46" s="19">
        <f t="shared" si="5"/>
        <v>46.5</v>
      </c>
    </row>
    <row r="47" spans="1:10" ht="15.75" customHeight="1" x14ac:dyDescent="0.25">
      <c r="A47" s="18" t="s">
        <v>189</v>
      </c>
      <c r="B47" s="18">
        <v>26</v>
      </c>
      <c r="C47" s="18">
        <v>43</v>
      </c>
      <c r="D47" s="18" t="str">
        <f>Burn_Up_Down!B30</f>
        <v>2026-09-04</v>
      </c>
      <c r="E47" s="19">
        <f>Burn_Up_Down!C30</f>
        <v>6</v>
      </c>
      <c r="F47" s="19">
        <f>Burn_Up_Down!D30</f>
        <v>4.5</v>
      </c>
      <c r="G47" s="19">
        <f t="shared" si="2"/>
        <v>143.00040000000001</v>
      </c>
      <c r="H47" s="19">
        <f t="shared" si="3"/>
        <v>114</v>
      </c>
      <c r="I47" s="19">
        <f t="shared" si="4"/>
        <v>12.999599999999987</v>
      </c>
      <c r="J47" s="19">
        <f t="shared" si="5"/>
        <v>42</v>
      </c>
    </row>
    <row r="48" spans="1:10" ht="15.75" customHeight="1" x14ac:dyDescent="0.25">
      <c r="A48" s="18" t="s">
        <v>189</v>
      </c>
      <c r="B48" s="18">
        <v>27</v>
      </c>
      <c r="C48" s="18">
        <v>44</v>
      </c>
      <c r="D48" s="18" t="str">
        <f>Burn_Up_Down!B31</f>
        <v>2026-09-05</v>
      </c>
      <c r="E48" s="19">
        <f>Burn_Up_Down!C31</f>
        <v>0</v>
      </c>
      <c r="F48" s="19">
        <f>Burn_Up_Down!D31</f>
        <v>0</v>
      </c>
      <c r="G48" s="19">
        <f t="shared" si="2"/>
        <v>143.00040000000001</v>
      </c>
      <c r="H48" s="19">
        <f t="shared" si="3"/>
        <v>114</v>
      </c>
      <c r="I48" s="19">
        <f t="shared" si="4"/>
        <v>12.999599999999987</v>
      </c>
      <c r="J48" s="19">
        <f t="shared" si="5"/>
        <v>42</v>
      </c>
    </row>
    <row r="49" spans="1:10" ht="15.75" customHeight="1" x14ac:dyDescent="0.25">
      <c r="A49" s="18" t="s">
        <v>189</v>
      </c>
      <c r="B49" s="18">
        <v>28</v>
      </c>
      <c r="C49" s="18">
        <v>45</v>
      </c>
      <c r="D49" s="18" t="str">
        <f>Burn_Up_Down!B32</f>
        <v>2026-09-06</v>
      </c>
      <c r="E49" s="19">
        <f>Burn_Up_Down!C32</f>
        <v>0</v>
      </c>
      <c r="F49" s="19">
        <f>Burn_Up_Down!D32</f>
        <v>0</v>
      </c>
      <c r="G49" s="19">
        <f t="shared" si="2"/>
        <v>143.00040000000001</v>
      </c>
      <c r="H49" s="19">
        <f t="shared" si="3"/>
        <v>114</v>
      </c>
      <c r="I49" s="19">
        <f t="shared" si="4"/>
        <v>12.999599999999987</v>
      </c>
      <c r="J49" s="19">
        <f t="shared" si="5"/>
        <v>42</v>
      </c>
    </row>
    <row r="50" spans="1:10" ht="15.75" customHeight="1" x14ac:dyDescent="0.25">
      <c r="A50" s="18" t="s">
        <v>189</v>
      </c>
      <c r="B50" s="18">
        <v>29</v>
      </c>
      <c r="C50" s="18">
        <v>46</v>
      </c>
      <c r="D50" s="18" t="str">
        <f>Burn_Up_Down!B33</f>
        <v>2026-09-07</v>
      </c>
      <c r="E50" s="19">
        <f>Burn_Up_Down!C33</f>
        <v>7</v>
      </c>
      <c r="F50" s="19">
        <f>Burn_Up_Down!D33</f>
        <v>5</v>
      </c>
      <c r="G50" s="19">
        <f t="shared" si="2"/>
        <v>150.00040000000001</v>
      </c>
      <c r="H50" s="19">
        <f t="shared" si="3"/>
        <v>119</v>
      </c>
      <c r="I50" s="19">
        <f t="shared" si="4"/>
        <v>5.9995999999999867</v>
      </c>
      <c r="J50" s="19">
        <f t="shared" si="5"/>
        <v>37</v>
      </c>
    </row>
    <row r="51" spans="1:10" ht="15.75" customHeight="1" x14ac:dyDescent="0.25">
      <c r="A51" s="18" t="s">
        <v>189</v>
      </c>
      <c r="B51" s="18">
        <v>30</v>
      </c>
      <c r="C51" s="18">
        <v>47</v>
      </c>
      <c r="D51" s="18" t="str">
        <f>Burn_Up_Down!B34</f>
        <v>2026-09-08</v>
      </c>
      <c r="E51" s="19">
        <f>Burn_Up_Down!C34</f>
        <v>3</v>
      </c>
      <c r="F51" s="19">
        <f>Burn_Up_Down!D34</f>
        <v>2</v>
      </c>
      <c r="G51" s="19">
        <f t="shared" si="2"/>
        <v>153.00040000000001</v>
      </c>
      <c r="H51" s="19">
        <f t="shared" si="3"/>
        <v>121</v>
      </c>
      <c r="I51" s="19">
        <f t="shared" si="4"/>
        <v>2.9995999999999867</v>
      </c>
      <c r="J51" s="19">
        <f t="shared" si="5"/>
        <v>35</v>
      </c>
    </row>
    <row r="52" spans="1:10" ht="15.75" customHeight="1" x14ac:dyDescent="0.25">
      <c r="A52" s="18" t="s">
        <v>189</v>
      </c>
      <c r="B52" s="18">
        <v>31</v>
      </c>
      <c r="C52" s="18">
        <v>48</v>
      </c>
      <c r="D52" s="18" t="str">
        <f>Burn_Up_Down!B35</f>
        <v>2026-09-09</v>
      </c>
      <c r="E52" s="19">
        <f>Burn_Up_Down!C35</f>
        <v>1.5</v>
      </c>
      <c r="F52" s="19">
        <f>Burn_Up_Down!D35</f>
        <v>1</v>
      </c>
      <c r="G52" s="19">
        <f t="shared" si="2"/>
        <v>154.50040000000001</v>
      </c>
      <c r="H52" s="19">
        <f t="shared" si="3"/>
        <v>122</v>
      </c>
      <c r="I52" s="19">
        <f t="shared" si="4"/>
        <v>1.4995999999999867</v>
      </c>
      <c r="J52" s="19">
        <f t="shared" si="5"/>
        <v>34</v>
      </c>
    </row>
    <row r="53" spans="1:10" ht="15.75" customHeight="1" x14ac:dyDescent="0.25">
      <c r="A53" s="18" t="s">
        <v>189</v>
      </c>
      <c r="B53" s="18">
        <v>32</v>
      </c>
      <c r="C53" s="18">
        <v>49</v>
      </c>
      <c r="D53" s="18" t="str">
        <f>Burn_Up_Down!B36</f>
        <v>2026-09-10</v>
      </c>
      <c r="E53" s="19">
        <f>Burn_Up_Down!C36</f>
        <v>1.5</v>
      </c>
      <c r="F53" s="19">
        <f>Burn_Up_Down!D36</f>
        <v>1</v>
      </c>
      <c r="G53" s="19">
        <f t="shared" si="2"/>
        <v>156.00040000000001</v>
      </c>
      <c r="H53" s="19">
        <f t="shared" si="3"/>
        <v>123</v>
      </c>
      <c r="I53" s="19">
        <f t="shared" si="4"/>
        <v>-4.0000000001327862E-4</v>
      </c>
      <c r="J53" s="19">
        <f t="shared" si="5"/>
        <v>33</v>
      </c>
    </row>
    <row r="54" spans="1:10" ht="15.75" customHeight="1" x14ac:dyDescent="0.25"/>
    <row r="55" spans="1:10" ht="15.75" customHeight="1" x14ac:dyDescent="0.25"/>
    <row r="56" spans="1:10" ht="15.75" customHeight="1" x14ac:dyDescent="0.25"/>
    <row r="57" spans="1:10" ht="15.75" customHeight="1" x14ac:dyDescent="0.25"/>
    <row r="58" spans="1:10" ht="15.75" customHeight="1" x14ac:dyDescent="0.25"/>
    <row r="59" spans="1:10" ht="15.75" customHeight="1" x14ac:dyDescent="0.25"/>
    <row r="60" spans="1:10" ht="15.75" customHeight="1" x14ac:dyDescent="0.25"/>
    <row r="61" spans="1:10" ht="15.75" customHeight="1" x14ac:dyDescent="0.25"/>
    <row r="62" spans="1:10" ht="15.75" customHeight="1" x14ac:dyDescent="0.25"/>
    <row r="63" spans="1:10" ht="15.75" customHeight="1" x14ac:dyDescent="0.25"/>
    <row r="64" spans="1:1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Seguimiento_Sprint</vt:lpstr>
      <vt:lpstr>Burn_Up_Down</vt:lpstr>
      <vt:lpstr>Burn_Global_I1_I2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Pauu</dc:creator>
  <dc:description/>
  <cp:lastModifiedBy>URRUTIA MOYA PAULINA A</cp:lastModifiedBy>
  <cp:revision>1</cp:revision>
  <dcterms:created xsi:type="dcterms:W3CDTF">2026-05-23T23:27:30Z</dcterms:created>
  <dcterms:modified xsi:type="dcterms:W3CDTF">2026-10-04T15:35:55Z</dcterms:modified>
  <dc:language>en-US</dc:language>
</cp:coreProperties>
</file>