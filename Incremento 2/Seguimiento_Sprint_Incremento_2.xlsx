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guimiento_Sprint" sheetId="1" r:id="rId4"/>
    <sheet state="visible" name="Burn_Up_Down" sheetId="2" r:id="rId5"/>
    <sheet state="visible" name="Burn_Global_I1_I2" sheetId="3" r:id="rId6"/>
  </sheets>
  <definedNames/>
  <calcPr/>
  <extLst>
    <ext uri="GoogleSheetsCustomDataVersion2">
      <go:sheetsCustomData xmlns:go="http://customooxmlschemas.google.com/" r:id="rId7" roundtripDataChecksum="jFahwL6jFwmHOhpRLu092xQ12nVf625nsRkyM9PGP/I="/>
    </ext>
  </extLst>
</workbook>
</file>

<file path=xl/sharedStrings.xml><?xml version="1.0" encoding="utf-8"?>
<sst xmlns="http://schemas.openxmlformats.org/spreadsheetml/2006/main" count="316" uniqueCount="177">
  <si>
    <t>Seguimiento sprint incremento 2</t>
  </si>
  <si>
    <t>PILA DEL PRODUCTO</t>
  </si>
  <si>
    <t>SEGUIMIENTO</t>
  </si>
  <si>
    <t>PROYECTO</t>
  </si>
  <si>
    <t>Verficación</t>
  </si>
  <si>
    <t>Prioridad</t>
  </si>
  <si>
    <t>Categoría</t>
  </si>
  <si>
    <t>Tarea</t>
  </si>
  <si>
    <t>Responsable</t>
  </si>
  <si>
    <t>Estimar HH</t>
  </si>
  <si>
    <t>Registro Diario en Horas</t>
  </si>
  <si>
    <t>Inicio</t>
  </si>
  <si>
    <t>Fin</t>
  </si>
  <si>
    <t>HH Efectivas</t>
  </si>
  <si>
    <t>Revisión</t>
  </si>
  <si>
    <t>Estado</t>
  </si>
  <si>
    <t>Detalles</t>
  </si>
  <si>
    <t>Informe</t>
  </si>
  <si>
    <t>Vista logica</t>
  </si>
  <si>
    <t xml:space="preserve">Paulina </t>
  </si>
  <si>
    <t>10-08-2026  1 H          11-08-2026  1 H</t>
  </si>
  <si>
    <t>Paulina</t>
  </si>
  <si>
    <t>OK</t>
  </si>
  <si>
    <t>Se modeló la vista lógica de la base de datos (entidades, atributos y relaciones). Entregable: modelo relacional validado. Criterio de aceptación: relaciones normalizadas, dependencias correctamente representadas y consistencia con MER/FN; evidencia: diagrama de vista lógica revisado e incorporado al informe.</t>
  </si>
  <si>
    <t>Base de Datos</t>
  </si>
  <si>
    <t>Código MySQL</t>
  </si>
  <si>
    <t xml:space="preserve">Benjamín  </t>
  </si>
  <si>
    <t>12-08-2026  1 H          13-08-2026  1 H</t>
  </si>
  <si>
    <t>Se generó y depuró el script SQL de creación de tablas, claves e integridad referencial. Entregable: script SQL de creación y restricciones. Criterio de aceptación: ejecución sin errores, claves e integridad referencial configuradas; evidencia: script probado en MySQL Workbench.</t>
  </si>
  <si>
    <t>D de Despliegue</t>
  </si>
  <si>
    <t xml:space="preserve">Benjamin  </t>
  </si>
  <si>
    <t>13-08-2026  1 H          14-08-2026  1 H</t>
  </si>
  <si>
    <t>Se elaboró el diagrama de despliegue identificando nodos, artefactos y ambiente de ejecución. Entregable: diagrama de despliegue. Criterio de aceptación: nodos, artefactos, conexiones y ambiente de ejecución identificados; evidencia: vista arquitectónica incorporada al informe.</t>
  </si>
  <si>
    <t>D de Secuencia</t>
  </si>
  <si>
    <t>Tomás</t>
  </si>
  <si>
    <t>10-08-2026  1.5 H          12-08-2026  1.5 H          14-08-2026  1 H</t>
  </si>
  <si>
    <t>Se construyó el diagrama de secuencia del caso de uso principal (actores, objetos y mensajes), verificando la consistencia del flujo temporal. Entregable: diagrama de secuencia. Criterio de aceptación: actores, objetos, mensajes y flujo temporal consistentes con el caso de uso; evidencia: diagrama revisado e integrado.</t>
  </si>
  <si>
    <t xml:space="preserve">Informe </t>
  </si>
  <si>
    <t xml:space="preserve">Corrección formato informe </t>
  </si>
  <si>
    <t>Vicente</t>
  </si>
  <si>
    <t>Se corrigió el formato general del informe (portada, índices, estilos y numeración) aplicando la plantilla institucional. Entregable: informe con formato corregido. Criterio de aceptación: portada, índices, estilos, numeración, referencias y anexos homogéneos; evidencia: revisión final sin inconsistencias visibles.</t>
  </si>
  <si>
    <t>D de Componentes</t>
  </si>
  <si>
    <t>14-08-2026  1.5 H</t>
  </si>
  <si>
    <t>Se diseñó el diagrama de componentes representando módulos, dependencias e interfaces del sistema. Entregable: diagrama de componentes. Criterio de aceptación: módulos, dependencias e interfaces del sistema representados de forma coherente; evidencia: vista 4+1 incorporada.</t>
  </si>
  <si>
    <t>Documento</t>
  </si>
  <si>
    <t xml:space="preserve"> Dimensión Técnica</t>
  </si>
  <si>
    <t>17-08-2026  1.5 H</t>
  </si>
  <si>
    <t>Se redactó la sección de dimensión técnica describiendo tecnologías, arquitectura y base de datos utilizadas. Entregable: descripción de dimensión técnica. Criterio de aceptación: tecnologías, arquitectura, base de datos y decisiones técnicas justificadas; evidencia: sección integrada al informe.</t>
  </si>
  <si>
    <t>Scrum Diario</t>
  </si>
  <si>
    <t xml:space="preserve">Paulina  </t>
  </si>
  <si>
    <t>10-08-2026  0.5 H          17-08-2026  0.5 H          24-08-2026  0.5 H          31-08-2026  0.5 H</t>
  </si>
  <si>
    <t>Se realizaron y documentaron las reuniones diarias Scrum del sprint, registrando avances, responsables y acuerdos de cada semana. Entregable: registros de seguimiento diario. Criterio de aceptación: avances, responsables, horas y acuerdos documentados; evidencia: bitácora actualizada para control del sprint.</t>
  </si>
  <si>
    <t>Carta Gantt</t>
  </si>
  <si>
    <t>10-08-2026  0.5 H          24-08-2026  0.5 H          07-09-2026  0.5 H</t>
  </si>
  <si>
    <t>Se actualizó la carta Gantt del sprint reflejando tareas, responsables, fechas y porcentaje de avance a medida que evolucionó el proyecto. Entregable: cronograma del sprint. Criterio de aceptación: tareas, responsables, fechas, estados y avance visibles; evidencia: carta Gantt separada y coherente con el seguimiento.</t>
  </si>
  <si>
    <t>Desarrollo Web</t>
  </si>
  <si>
    <t xml:space="preserve">Programación </t>
  </si>
  <si>
    <t xml:space="preserve">Tomás  </t>
  </si>
  <si>
    <t>18-08-2026  2 H          19-08-2026  2 H          20-08-2026  2 H</t>
  </si>
  <si>
    <t>Se implementaron las vistas y controladores del módulo público del sitio (Laravel/Blade). Entregable: código en GitHub con la página web implementada, incluido el video de demostración.</t>
  </si>
  <si>
    <t>Se desarrollaron los modelos Eloquent y las migraciones de la base de datos. Entregable: código en GitHub con la página web implementada, incluido el video de demostración.</t>
  </si>
  <si>
    <t xml:space="preserve">Correciones puntuales Informe incremento 2 </t>
  </si>
  <si>
    <t xml:space="preserve">Diego C  </t>
  </si>
  <si>
    <t>24-08-2026  1.5 H          25-08-2026  1 H</t>
  </si>
  <si>
    <t>Se revisaron y corrigieron observaciones puntuales del Informe del Incremento 2 (redacción, formato y consistencia de contenidos). Entregable: informe con correcciones puntuales aplicadas. Criterio de aceptación: observaciones resueltas y contenido coherente con las secciones previas; evidencia: informe actualizado con cambios trazables.</t>
  </si>
  <si>
    <t>Requerimientos Informe</t>
  </si>
  <si>
    <t xml:space="preserve"> Vicente </t>
  </si>
  <si>
    <t>24-08-2026  1 H          25-08-2026  1 H</t>
  </si>
  <si>
    <t>Se redactó y ordenó la sección de requerimientos funcionales y no funcionales del informe. Entregable: sección de requerimientos del informe. Criterio de aceptación: requerimientos clasificados, numerados y trazables con los casos de uso; evidencia: sección integrada al informe.</t>
  </si>
  <si>
    <t>Casos de uso</t>
  </si>
  <si>
    <t xml:space="preserve"> Tomás </t>
  </si>
  <si>
    <t>26-08-2026  1.5 H          27-08-2026  1 H</t>
  </si>
  <si>
    <t>Se documentaron y describieron los casos de uso del sistema (flujo principal, alternativo y precondiciones). Entregable: sección de casos de uso del informe. Criterio de aceptación: casos de uso completos, numerados y alineados con los requerimientos; evidencia: sección integrada al informe.</t>
  </si>
  <si>
    <t>Correción Requerimientos</t>
  </si>
  <si>
    <t xml:space="preserve"> Todos </t>
  </si>
  <si>
    <t>28-08-2026  2 H</t>
  </si>
  <si>
    <t>Se revisó en equipo la sección de requerimientos para corregir duplicidades y ajustar la trazabilidad con los casos de uso. Entregable: sección de requerimientos corregida. Criterio de aceptación: sin duplicidades, numeración consistente y trazabilidad validada; evidencia: sección revisada por el equipo completo.</t>
  </si>
  <si>
    <t>Diagrama de secuencia informe</t>
  </si>
  <si>
    <t xml:space="preserve"> Paulina </t>
  </si>
  <si>
    <t>28-08-2026  1 H          31-08-2026  1 H</t>
  </si>
  <si>
    <t>Se incorporó y ajustó el diagrama de secuencia dentro del informe, verificando la correspondencia entre el diagrama y la descripción textual del caso de uso. Entregable: diagrama de secuencia incorporado al informe. Criterio de aceptación: diagrama legible, consistente con el caso de uso y correctamente referenciado; evidencia: sección del informe actualizada.</t>
  </si>
  <si>
    <t>PPT</t>
  </si>
  <si>
    <t>07-09-2026  1.5 H          08-09-2026  1 H</t>
  </si>
  <si>
    <t>Se elaboró la presentación PowerPoint de cierre del Incremento 2, resumiendo objetivos, avances y evidencias del sprint. Entregable: presentación PPT del incremento. Criterio de aceptación: contenido resumido, alineado con el informe y con diseño homogéneo; evidencia: archivo PPT final revisado.</t>
  </si>
  <si>
    <t>casos de prueba informe</t>
  </si>
  <si>
    <t xml:space="preserve"> Diego Carabajal </t>
  </si>
  <si>
    <t>01-09-2026  1.5 H          02-09-2026  1 H</t>
  </si>
  <si>
    <t>Se diseñaron y documentaron los casos de prueba funcionales del sistema (entradas, pasos y resultados esperados). Entregable: sección de casos de prueba del informe. Criterio de aceptación: casos de prueba trazables con los requerimientos y con resultados esperados definidos; evidencia: sección integrada al informe.</t>
  </si>
  <si>
    <t>Arbol de navegacion  informe</t>
  </si>
  <si>
    <t>01-09-2026  1 H          02-09-2026  1 H</t>
  </si>
  <si>
    <t>Se construyó el árbol de navegación del sitio web público, representando la jerarquía de páginas y accesos. Entregable: árbol de navegación incorporado al informe. Criterio de aceptación: jerarquía de páginas completa y coherente con la navegación real del sitio; evidencia: diagrama integrado al informe.</t>
  </si>
  <si>
    <t>Revisión y correción de trazabilidad de informes</t>
  </si>
  <si>
    <t>03-09-2026  1 H          04-09-2026  1 H</t>
  </si>
  <si>
    <t>Se revisó la trazabilidad entre requerimientos, casos de uso y casos de prueba del informe, corrigiendo referencias cruzadas incompletas. Entregable: matriz de trazabilidad revisada. Criterio de aceptación: referencias cruzadas completas y sin inconsistencias; evidencia: informe actualizado con trazabilidad validada.</t>
  </si>
  <si>
    <t xml:space="preserve">Tomás </t>
  </si>
  <si>
    <t>Se apoyó la revisión de trazabilidad verificando que cada caso de uso contara con sus casos de prueba asociados. Entregable: matriz de trazabilidad revisada. Criterio de aceptación: cobertura completa entre casos de uso y casos de prueba; evidencia: informe actualizado con trazabilidad validada.</t>
  </si>
  <si>
    <t>Revisión y correción de pagina web</t>
  </si>
  <si>
    <t>04-09-2026  1.5 H          07-09-2026  1 H</t>
  </si>
  <si>
    <t>Se revisaron y corrigieron errores visuales y de funcionamiento en el sitio web (enlaces, formularios y responsividad). Entregable: sitio web corregido y verificado. Criterio de aceptación: navegación, formularios y visualización funcionando correctamente en distintos dispositivos; evidencia: pruebas manuales registradas y video de verificación.</t>
  </si>
  <si>
    <t>04-09-2026  1 H          07-09-2026  1 H</t>
  </si>
  <si>
    <t>Se verificó el contenido publicado en el sitio web (textos, imágenes y certificaciones) contrastándolo con el informe. Entregable: contenido del sitio web verificado. Criterio de aceptación: contenido correcto, actualizado y sin errores de redacción; evidencia: revisión final registrada.</t>
  </si>
  <si>
    <t>Matriz RF vs CUS</t>
  </si>
  <si>
    <t>07-09-2026  1 H          08-09-2026  1 H</t>
  </si>
  <si>
    <t>Se elaboró la matriz de trazabilidad entre requerimientos funcionales y casos de uso del sistema. Entregable: matriz RF vs CUS. Criterio de aceptación: todos los requerimientos funcionales asociados a al menos un caso de uso, sin duplicidades; evidencia: matriz incorporada al informe.</t>
  </si>
  <si>
    <t>Organización general trabajo</t>
  </si>
  <si>
    <t>09-09-2026  1 H          10-09-2026  1 H</t>
  </si>
  <si>
    <t>Se coordinó la organización final del equipo, consolidando entregables, asignando revisiones cruzadas y verificando el cumplimiento del cronograma antes de la entrega del Incremento 2. Entregable: cierre organizativo del sprint. Criterio de aceptación: todos los entregables consolidados, revisados y entregados dentro del plazo; evidencia: checklist de cierre y carta Gantt final actualizada.</t>
  </si>
  <si>
    <t>Seguimiento Burn-Up / Burn-Down — Incremento 2</t>
  </si>
  <si>
    <t>Burn-Up / Burn-Down Acumulado — Incremento 1 + Incremento 2</t>
  </si>
  <si>
    <t>Combina, en una sola línea de tiempo (Día Global), las 17 jornadas del Incremento 1 seguidas de las 32 jornadas del Incremento 2, sin reiniciar el acumulado entre sprints. Días 1-17: HH Estimada/Efectiva provienen de "Seguimiento_Sprint_Incremento_1.xlsx" (archivo no incluido en este libro; se ingresan como dato fijo en celdas azules, calculado con el mismo criterio: Estimar HH repartido en partes iguales entre días de registro). Días 18-49: enlazados por fórmula a la hoja "Burn_Up_Down" (Incremento 2) de este mismo libro.</t>
  </si>
  <si>
    <t>Fuente: hoja "Seguimiento_Sprint" (columnas Estimar HH y Registro Diario en Horas). HH Estimada diaria = Estimar HH de cada tarea repartido en partes iguales entre sus días de registro.</t>
  </si>
  <si>
    <t>Sprint</t>
  </si>
  <si>
    <t>Día (sprint)</t>
  </si>
  <si>
    <t>Día Global</t>
  </si>
  <si>
    <t>Fecha</t>
  </si>
  <si>
    <t>HH Estimada (día)</t>
  </si>
  <si>
    <t>HH Efectiva (día)</t>
  </si>
  <si>
    <t>Día</t>
  </si>
  <si>
    <t>HH Estimada (acum.)</t>
  </si>
  <si>
    <t>HH Efectiva (acum.)</t>
  </si>
  <si>
    <t>Remanente Estimada</t>
  </si>
  <si>
    <t>Remanente Efectiva</t>
  </si>
  <si>
    <t>Total Estimar HH Incremento 1 (fuente: Seguimiento_Sprint_Incremento_1.xlsx):</t>
  </si>
  <si>
    <t>Total Estimar HH (alcance):</t>
  </si>
  <si>
    <t>Incremento 1</t>
  </si>
  <si>
    <t>2026-05-09</t>
  </si>
  <si>
    <t>2026-08-10</t>
  </si>
  <si>
    <t>Total Estimar HH Incremento 2 (de hoja Burn_Up_Down de este libro):</t>
  </si>
  <si>
    <t>2026-05-10</t>
  </si>
  <si>
    <t>2026-08-11</t>
  </si>
  <si>
    <t>Total Estimar HH Global (I1+I2):</t>
  </si>
  <si>
    <t>2026-08-12</t>
  </si>
  <si>
    <t>2026-05-11</t>
  </si>
  <si>
    <t>2026-05-12</t>
  </si>
  <si>
    <t>2026-08-13</t>
  </si>
  <si>
    <t>2026-05-13</t>
  </si>
  <si>
    <t>2026-08-14</t>
  </si>
  <si>
    <t>2026-05-14</t>
  </si>
  <si>
    <t>2026-08-15</t>
  </si>
  <si>
    <t>2026-05-15</t>
  </si>
  <si>
    <t>2026-08-16</t>
  </si>
  <si>
    <t>2026-05-16</t>
  </si>
  <si>
    <t>2026-08-17</t>
  </si>
  <si>
    <t>2026-05-17</t>
  </si>
  <si>
    <t>2026-08-18</t>
  </si>
  <si>
    <t>2026-05-18</t>
  </si>
  <si>
    <t>2026-08-19</t>
  </si>
  <si>
    <t>2026-05-19</t>
  </si>
  <si>
    <t>2026-08-20</t>
  </si>
  <si>
    <t>2026-05-20</t>
  </si>
  <si>
    <t>2026-08-21</t>
  </si>
  <si>
    <t>2026-05-21</t>
  </si>
  <si>
    <t>2026-08-22</t>
  </si>
  <si>
    <t>2026-05-22</t>
  </si>
  <si>
    <t>2026-08-23</t>
  </si>
  <si>
    <t>2026-05-23</t>
  </si>
  <si>
    <t>2026-05-24</t>
  </si>
  <si>
    <t>2026-08-24</t>
  </si>
  <si>
    <t>2026-08-25</t>
  </si>
  <si>
    <t>2026-05-25</t>
  </si>
  <si>
    <t>2026-08-26</t>
  </si>
  <si>
    <t>Incremento 2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</si>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</sst>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\-mm\-yyyy"/>
    <numFmt numFmtId="165" formatCode="m/d/yyyy"/>
    <numFmt numFmtId="166" formatCode="0.0"/>
  </numFmts>
  <fonts count="13">
    <font>
      <sz val="11.0"/>
      <color theme="1"/>
      <name val="Calibri"/>
      <scheme val="minor"/>
    </font>
    <font>
      <b/>
      <sz val="18.0"/>
      <color theme="1"/>
      <name val="Calibri"/>
    </font>
    <font/>
    <font>
      <b/>
      <sz val="11.0"/>
      <color theme="1"/>
      <name val="Calibri"/>
    </font>
    <font>
      <b/>
      <sz val="11.0"/>
      <color rgb="FF000000"/>
      <name val="Calibri"/>
    </font>
    <font>
      <sz val="11.0"/>
      <color theme="1"/>
      <name val="Calibri"/>
    </font>
    <font>
      <b/>
      <sz val="14.0"/>
      <color rgb="FF1F4E78"/>
      <name val="Arial"/>
    </font>
    <font>
      <i/>
      <sz val="9.0"/>
      <color rgb="FF595959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b/>
      <sz val="11.0"/>
      <color rgb="FF0000FF"/>
      <name val="Arial"/>
    </font>
    <font>
      <sz val="10.0"/>
      <color theme="1"/>
      <name val="Arial"/>
    </font>
    <font>
      <sz val="10.0"/>
      <color rgb="FF0000FF"/>
      <name val="Arial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D966"/>
        <bgColor rgb="FFFFD966"/>
      </patternFill>
    </fill>
    <fill>
      <patternFill patternType="solid">
        <fgColor rgb="FFA9D08E"/>
        <bgColor rgb="FFA9D08E"/>
      </patternFill>
    </fill>
    <fill>
      <patternFill patternType="solid">
        <fgColor rgb="FF9BC2E6"/>
        <bgColor rgb="FF9BC2E6"/>
      </patternFill>
    </fill>
    <fill>
      <patternFill patternType="solid">
        <fgColor rgb="FFCCC0D9"/>
        <bgColor rgb="FFCCC0D9"/>
      </patternFill>
    </fill>
    <fill>
      <patternFill patternType="solid">
        <fgColor rgb="FFDAEEF3"/>
        <bgColor rgb="FFDAEEF3"/>
      </patternFill>
    </fill>
    <fill>
      <patternFill patternType="solid">
        <fgColor rgb="FFD6E3BC"/>
        <bgColor rgb="FFD6E3BC"/>
      </patternFill>
    </fill>
    <fill>
      <patternFill patternType="solid">
        <fgColor rgb="FF1F4E78"/>
        <bgColor rgb="FF1F4E78"/>
      </patternFill>
    </fill>
  </fills>
  <borders count="1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left" shrinkToFit="0" vertical="center" wrapText="1"/>
    </xf>
    <xf borderId="5" fillId="3" fontId="4" numFmtId="0" xfId="0" applyAlignment="1" applyBorder="1" applyFill="1" applyFont="1">
      <alignment horizontal="center" shrinkToFit="0" vertical="center" wrapText="1"/>
    </xf>
    <xf borderId="6" fillId="0" fontId="2" numFmtId="0" xfId="0" applyBorder="1" applyFont="1"/>
    <xf borderId="7" fillId="0" fontId="2" numFmtId="0" xfId="0" applyBorder="1" applyFont="1"/>
    <xf borderId="8" fillId="4" fontId="4" numFmtId="0" xfId="0" applyAlignment="1" applyBorder="1" applyFill="1" applyFont="1">
      <alignment horizontal="center" shrinkToFit="0" vertical="center" wrapText="1"/>
    </xf>
    <xf borderId="5" fillId="5" fontId="4" numFmtId="0" xfId="0" applyAlignment="1" applyBorder="1" applyFill="1" applyFont="1">
      <alignment horizontal="center" shrinkToFit="0" vertical="center" wrapText="1"/>
    </xf>
    <xf borderId="5" fillId="6" fontId="4" numFmtId="0" xfId="0" applyAlignment="1" applyBorder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shrinkToFit="0" vertical="center" wrapText="1"/>
    </xf>
    <xf borderId="8" fillId="0" fontId="5" numFmtId="0" xfId="0" applyAlignment="1" applyBorder="1" applyFont="1">
      <alignment horizontal="center" shrinkToFit="0" vertical="top" wrapText="1"/>
    </xf>
    <xf borderId="8" fillId="0" fontId="5" numFmtId="0" xfId="0" applyAlignment="1" applyBorder="1" applyFont="1">
      <alignment horizontal="left" shrinkToFit="0" vertical="top" wrapText="1"/>
    </xf>
    <xf borderId="8" fillId="0" fontId="5" numFmtId="164" xfId="0" applyAlignment="1" applyBorder="1" applyFont="1" applyNumberFormat="1">
      <alignment horizontal="center" shrinkToFit="0" vertical="top" wrapText="1"/>
    </xf>
    <xf borderId="8" fillId="0" fontId="5" numFmtId="165" xfId="0" applyAlignment="1" applyBorder="1" applyFont="1" applyNumberFormat="1">
      <alignment horizontal="center" shrinkToFit="0" vertical="top" wrapText="1"/>
    </xf>
    <xf borderId="8" fillId="8" fontId="5" numFmtId="0" xfId="0" applyAlignment="1" applyBorder="1" applyFill="1" applyFont="1">
      <alignment horizontal="center" shrinkToFit="0" vertical="top" wrapText="1"/>
    </xf>
    <xf borderId="0" fillId="0" fontId="5" numFmtId="0" xfId="0" applyAlignment="1" applyFont="1">
      <alignment shrinkToFit="0" vertical="top" wrapText="1"/>
    </xf>
    <xf borderId="8" fillId="0" fontId="5" numFmtId="165" xfId="0" applyAlignment="1" applyBorder="1" applyFont="1" applyNumberFormat="1">
      <alignment horizontal="left" shrinkToFit="0" vertical="top" wrapText="1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9" fillId="9" fontId="8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shrinkToFit="0" vertical="bottom" wrapText="0"/>
    </xf>
    <xf borderId="0" fillId="0" fontId="10" numFmtId="166" xfId="0" applyAlignment="1" applyFont="1" applyNumberFormat="1">
      <alignment shrinkToFit="0" vertical="bottom" wrapText="0"/>
    </xf>
    <xf borderId="9" fillId="0" fontId="11" numFmtId="0" xfId="0" applyAlignment="1" applyBorder="1" applyFont="1">
      <alignment horizontal="center" shrinkToFit="0" vertical="bottom" wrapText="0"/>
    </xf>
    <xf borderId="9" fillId="0" fontId="12" numFmtId="166" xfId="0" applyAlignment="1" applyBorder="1" applyFont="1" applyNumberFormat="1">
      <alignment horizontal="center" shrinkToFit="0" vertical="bottom" wrapText="0"/>
    </xf>
    <xf borderId="9" fillId="0" fontId="11" numFmtId="166" xfId="0" applyAlignment="1" applyBorder="1" applyFont="1" applyNumberFormat="1">
      <alignment horizontal="center" shrinkToFit="0" vertical="bottom" wrapText="0"/>
    </xf>
    <xf borderId="0" fillId="0" fontId="9" numFmtId="166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Gráfica Burn-Up — Incremento 2</a:t>
            </a:r>
          </a:p>
        </c:rich>
      </c:tx>
      <c:overlay val="0"/>
    </c:title>
    <c:plotArea>
      <c:layout/>
      <c:lineChart>
        <c:ser>
          <c:idx val="0"/>
          <c:order val="0"/>
          <c:tx>
            <c:v>HH Estimada</c:v>
          </c:tx>
          <c:spPr>
            <a:ln cmpd="sng" w="19050">
              <a:solidFill>
                <a:srgbClr val="1F77B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Burn_Up_Down!$A$5:$A$36</c:f>
            </c:strRef>
          </c:cat>
          <c:val>
            <c:numRef>
              <c:f>Burn_Up_Down!$E$5:$E$36</c:f>
              <c:numCache/>
            </c:numRef>
          </c:val>
          <c:smooth val="0"/>
        </c:ser>
        <c:ser>
          <c:idx val="1"/>
          <c:order val="1"/>
          <c:tx>
            <c:v>HH Efectiva</c:v>
          </c:tx>
          <c:spPr>
            <a:ln cmpd="sng" w="19050">
              <a:solidFill>
                <a:srgbClr val="D6272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Burn_Up_Down!$A$5:$A$36</c:f>
            </c:strRef>
          </c:cat>
          <c:val>
            <c:numRef>
              <c:f>Burn_Up_Down!$F$5:$F$36</c:f>
              <c:numCache/>
            </c:numRef>
          </c:val>
          <c:smooth val="0"/>
        </c:ser>
        <c:axId val="1409246213"/>
        <c:axId val="1308894555"/>
      </c:lineChart>
      <c:catAx>
        <c:axId val="14092462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Día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08894555"/>
      </c:catAx>
      <c:valAx>
        <c:axId val="13088945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Horas (HH)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0924621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Gráfica Burn-Down — Incremento 2</a:t>
            </a:r>
          </a:p>
        </c:rich>
      </c:tx>
      <c:overlay val="0"/>
    </c:title>
    <c:plotArea>
      <c:layout/>
      <c:lineChart>
        <c:ser>
          <c:idx val="0"/>
          <c:order val="0"/>
          <c:tx>
            <c:v>HH Estimada</c:v>
          </c:tx>
          <c:spPr>
            <a:ln cmpd="sng" w="19050">
              <a:solidFill>
                <a:srgbClr val="1F77B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Burn_Up_Down!$A$5:$A$36</c:f>
            </c:strRef>
          </c:cat>
          <c:val>
            <c:numRef>
              <c:f>Burn_Up_Down!$G$5:$G$36</c:f>
              <c:numCache/>
            </c:numRef>
          </c:val>
          <c:smooth val="0"/>
        </c:ser>
        <c:ser>
          <c:idx val="1"/>
          <c:order val="1"/>
          <c:tx>
            <c:v>HH Efectiva</c:v>
          </c:tx>
          <c:spPr>
            <a:ln cmpd="sng" w="19050">
              <a:solidFill>
                <a:srgbClr val="D6272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Burn_Up_Down!$A$5:$A$36</c:f>
            </c:strRef>
          </c:cat>
          <c:val>
            <c:numRef>
              <c:f>Burn_Up_Down!$H$5:$H$36</c:f>
              <c:numCache/>
            </c:numRef>
          </c:val>
          <c:smooth val="0"/>
        </c:ser>
        <c:axId val="1712945729"/>
        <c:axId val="2083311893"/>
      </c:lineChart>
      <c:catAx>
        <c:axId val="17129457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Día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083311893"/>
      </c:catAx>
      <c:valAx>
        <c:axId val="20833118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Horas (HH)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712945729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Gráfica Burn-Up Acumulado — Incremento 1 + Incremento 2</a:t>
            </a:r>
          </a:p>
        </c:rich>
      </c:tx>
      <c:overlay val="0"/>
    </c:title>
    <c:plotArea>
      <c:layout/>
      <c:lineChart>
        <c:ser>
          <c:idx val="0"/>
          <c:order val="0"/>
          <c:tx>
            <c:v>HH Estimada</c:v>
          </c:tx>
          <c:spPr>
            <a:ln cmpd="sng" w="19050">
              <a:solidFill>
                <a:srgbClr val="1F77B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Burn_Global_I1_I2!$C$5:$C$53</c:f>
            </c:strRef>
          </c:cat>
          <c:val>
            <c:numRef>
              <c:f>Burn_Global_I1_I2!$G$5:$G$53</c:f>
              <c:numCache/>
            </c:numRef>
          </c:val>
          <c:smooth val="0"/>
        </c:ser>
        <c:ser>
          <c:idx val="1"/>
          <c:order val="1"/>
          <c:tx>
            <c:v>HH Efectiva</c:v>
          </c:tx>
          <c:spPr>
            <a:ln cmpd="sng" w="19050">
              <a:solidFill>
                <a:srgbClr val="D6272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Burn_Global_I1_I2!$C$5:$C$53</c:f>
            </c:strRef>
          </c:cat>
          <c:val>
            <c:numRef>
              <c:f>Burn_Global_I1_I2!$H$5:$H$53</c:f>
              <c:numCache/>
            </c:numRef>
          </c:val>
          <c:smooth val="0"/>
        </c:ser>
        <c:axId val="2053792403"/>
        <c:axId val="1195499934"/>
      </c:lineChart>
      <c:catAx>
        <c:axId val="20537924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Día Global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195499934"/>
      </c:catAx>
      <c:valAx>
        <c:axId val="11954999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Horas (HH)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05379240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Gráfica Burn-Down Acumulado — Incremento 1 + Incremento 2</a:t>
            </a:r>
          </a:p>
        </c:rich>
      </c:tx>
      <c:overlay val="0"/>
    </c:title>
    <c:plotArea>
      <c:layout/>
      <c:lineChart>
        <c:ser>
          <c:idx val="0"/>
          <c:order val="0"/>
          <c:tx>
            <c:v>HH Estimada</c:v>
          </c:tx>
          <c:spPr>
            <a:ln cmpd="sng" w="19050">
              <a:solidFill>
                <a:srgbClr val="1F77B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Burn_Global_I1_I2!$C$5:$C$53</c:f>
            </c:strRef>
          </c:cat>
          <c:val>
            <c:numRef>
              <c:f>Burn_Global_I1_I2!$I$5:$I$53</c:f>
              <c:numCache/>
            </c:numRef>
          </c:val>
          <c:smooth val="0"/>
        </c:ser>
        <c:ser>
          <c:idx val="1"/>
          <c:order val="1"/>
          <c:tx>
            <c:v>HH Efectiva</c:v>
          </c:tx>
          <c:spPr>
            <a:ln cmpd="sng" w="19050">
              <a:solidFill>
                <a:srgbClr val="D6272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Burn_Global_I1_I2!$C$5:$C$53</c:f>
            </c:strRef>
          </c:cat>
          <c:val>
            <c:numRef>
              <c:f>Burn_Global_I1_I2!$J$5:$J$53</c:f>
              <c:numCache/>
            </c:numRef>
          </c:val>
          <c:smooth val="0"/>
        </c:ser>
        <c:axId val="807465160"/>
        <c:axId val="1682801461"/>
      </c:lineChart>
      <c:catAx>
        <c:axId val="807465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Día Global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682801461"/>
      </c:catAx>
      <c:valAx>
        <c:axId val="16828014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Horas (HH)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0746516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37</xdr:row>
      <xdr:rowOff>9525</xdr:rowOff>
    </xdr:from>
    <xdr:ext cx="6819900" cy="3400425"/>
    <xdr:graphicFrame>
      <xdr:nvGraphicFramePr>
        <xdr:cNvPr id="663931774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0</xdr:colOff>
      <xdr:row>37</xdr:row>
      <xdr:rowOff>9525</xdr:rowOff>
    </xdr:from>
    <xdr:ext cx="6848475" cy="3400425"/>
    <xdr:graphicFrame>
      <xdr:nvGraphicFramePr>
        <xdr:cNvPr id="82966407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714375</xdr:colOff>
      <xdr:row>54</xdr:row>
      <xdr:rowOff>95250</xdr:rowOff>
    </xdr:from>
    <xdr:ext cx="7486650" cy="3762375"/>
    <xdr:graphicFrame>
      <xdr:nvGraphicFramePr>
        <xdr:cNvPr id="761528030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514350</xdr:colOff>
      <xdr:row>54</xdr:row>
      <xdr:rowOff>95250</xdr:rowOff>
    </xdr:from>
    <xdr:ext cx="7515225" cy="3762375"/>
    <xdr:graphicFrame>
      <xdr:nvGraphicFramePr>
        <xdr:cNvPr id="1518978349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6.29"/>
    <col customWidth="1" min="3" max="3" width="21.29"/>
    <col customWidth="1" min="4" max="4" width="15.71"/>
    <col customWidth="1" min="5" max="5" width="11.86"/>
    <col customWidth="1" min="6" max="6" width="23.57"/>
    <col customWidth="1" min="7" max="8" width="11.29"/>
    <col customWidth="1" min="9" max="9" width="18.86"/>
    <col customWidth="1" min="10" max="10" width="13.14"/>
    <col customWidth="1" min="11" max="11" width="11.86"/>
    <col customWidth="1" min="12" max="12" width="58.43"/>
    <col customWidth="1" min="13" max="26" width="9.14"/>
  </cols>
  <sheetData>
    <row r="1" ht="48.7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</row>
    <row r="2" ht="15.0" customHeight="1">
      <c r="A2" s="5" t="s">
        <v>1</v>
      </c>
      <c r="B2" s="6"/>
      <c r="C2" s="6"/>
      <c r="D2" s="6"/>
      <c r="E2" s="7"/>
      <c r="F2" s="8" t="s">
        <v>2</v>
      </c>
      <c r="G2" s="9" t="s">
        <v>3</v>
      </c>
      <c r="H2" s="6"/>
      <c r="I2" s="7"/>
      <c r="J2" s="10" t="s">
        <v>4</v>
      </c>
      <c r="K2" s="6"/>
      <c r="L2" s="7"/>
    </row>
    <row r="3" ht="15.0" customHeight="1">
      <c r="A3" s="11" t="s">
        <v>5</v>
      </c>
      <c r="B3" s="11" t="s">
        <v>6</v>
      </c>
      <c r="C3" s="11" t="s">
        <v>7</v>
      </c>
      <c r="D3" s="11" t="s">
        <v>8</v>
      </c>
      <c r="E3" s="11" t="s">
        <v>9</v>
      </c>
      <c r="F3" s="11" t="s">
        <v>10</v>
      </c>
      <c r="G3" s="11" t="s">
        <v>11</v>
      </c>
      <c r="H3" s="11" t="s">
        <v>12</v>
      </c>
      <c r="I3" s="11" t="s">
        <v>13</v>
      </c>
      <c r="J3" s="11" t="s">
        <v>14</v>
      </c>
      <c r="K3" s="11" t="s">
        <v>15</v>
      </c>
      <c r="L3" s="11" t="s">
        <v>16</v>
      </c>
    </row>
    <row r="4" ht="48.75" customHeight="1">
      <c r="A4" s="12">
        <v>1.0</v>
      </c>
      <c r="B4" s="12" t="s">
        <v>17</v>
      </c>
      <c r="C4" s="12" t="s">
        <v>18</v>
      </c>
      <c r="D4" s="12" t="s">
        <v>19</v>
      </c>
      <c r="E4" s="12">
        <v>2.0</v>
      </c>
      <c r="F4" s="13" t="s">
        <v>20</v>
      </c>
      <c r="G4" s="14">
        <v>46244.0</v>
      </c>
      <c r="H4" s="14">
        <v>46245.0</v>
      </c>
      <c r="I4" s="12">
        <v>2.0</v>
      </c>
      <c r="J4" s="15" t="s">
        <v>21</v>
      </c>
      <c r="K4" s="16" t="s">
        <v>22</v>
      </c>
      <c r="L4" s="17" t="s">
        <v>23</v>
      </c>
    </row>
    <row r="5" ht="81.75" customHeight="1">
      <c r="A5" s="12">
        <v>1.0</v>
      </c>
      <c r="B5" s="12" t="s">
        <v>24</v>
      </c>
      <c r="C5" s="12" t="s">
        <v>25</v>
      </c>
      <c r="D5" s="12" t="s">
        <v>26</v>
      </c>
      <c r="E5" s="12">
        <v>2.0</v>
      </c>
      <c r="F5" s="13" t="s">
        <v>27</v>
      </c>
      <c r="G5" s="14">
        <v>46246.0</v>
      </c>
      <c r="H5" s="14">
        <v>46247.0</v>
      </c>
      <c r="I5" s="12">
        <v>2.0</v>
      </c>
      <c r="J5" s="15" t="s">
        <v>21</v>
      </c>
      <c r="K5" s="16" t="s">
        <v>22</v>
      </c>
      <c r="L5" s="17" t="s">
        <v>28</v>
      </c>
    </row>
    <row r="6" ht="98.25" customHeight="1">
      <c r="A6" s="12">
        <v>1.0</v>
      </c>
      <c r="B6" s="12" t="s">
        <v>17</v>
      </c>
      <c r="C6" s="12" t="s">
        <v>29</v>
      </c>
      <c r="D6" s="12" t="s">
        <v>30</v>
      </c>
      <c r="E6" s="12">
        <v>3.0</v>
      </c>
      <c r="F6" s="13" t="s">
        <v>31</v>
      </c>
      <c r="G6" s="14">
        <v>46247.0</v>
      </c>
      <c r="H6" s="14">
        <v>46248.0</v>
      </c>
      <c r="I6" s="12">
        <v>2.0</v>
      </c>
      <c r="J6" s="15" t="s">
        <v>21</v>
      </c>
      <c r="K6" s="16" t="s">
        <v>22</v>
      </c>
      <c r="L6" s="17" t="s">
        <v>32</v>
      </c>
    </row>
    <row r="7" ht="101.25" customHeight="1">
      <c r="A7" s="12">
        <v>1.0</v>
      </c>
      <c r="B7" s="12" t="s">
        <v>17</v>
      </c>
      <c r="C7" s="12" t="s">
        <v>33</v>
      </c>
      <c r="D7" s="12" t="s">
        <v>34</v>
      </c>
      <c r="E7" s="12">
        <v>5.0</v>
      </c>
      <c r="F7" s="13" t="s">
        <v>35</v>
      </c>
      <c r="G7" s="14">
        <v>46244.0</v>
      </c>
      <c r="H7" s="14">
        <v>46248.0</v>
      </c>
      <c r="I7" s="12">
        <v>4.0</v>
      </c>
      <c r="J7" s="15" t="s">
        <v>21</v>
      </c>
      <c r="K7" s="16" t="s">
        <v>22</v>
      </c>
      <c r="L7" s="17" t="s">
        <v>36</v>
      </c>
    </row>
    <row r="8" ht="103.5" customHeight="1">
      <c r="A8" s="12">
        <v>1.0</v>
      </c>
      <c r="B8" s="12" t="s">
        <v>37</v>
      </c>
      <c r="C8" s="12" t="s">
        <v>38</v>
      </c>
      <c r="D8" s="12" t="s">
        <v>39</v>
      </c>
      <c r="E8" s="12">
        <v>3.0</v>
      </c>
      <c r="F8" s="13" t="s">
        <v>31</v>
      </c>
      <c r="G8" s="14">
        <v>46247.0</v>
      </c>
      <c r="H8" s="14">
        <v>46248.0</v>
      </c>
      <c r="I8" s="12">
        <v>2.0</v>
      </c>
      <c r="J8" s="15" t="s">
        <v>21</v>
      </c>
      <c r="K8" s="16" t="s">
        <v>22</v>
      </c>
      <c r="L8" s="17" t="s">
        <v>40</v>
      </c>
    </row>
    <row r="9" ht="99.75" customHeight="1">
      <c r="A9" s="12">
        <v>1.0</v>
      </c>
      <c r="B9" s="12" t="s">
        <v>17</v>
      </c>
      <c r="C9" s="12" t="s">
        <v>41</v>
      </c>
      <c r="D9" s="12" t="s">
        <v>26</v>
      </c>
      <c r="E9" s="12">
        <v>3.0</v>
      </c>
      <c r="F9" s="13" t="s">
        <v>42</v>
      </c>
      <c r="G9" s="14">
        <v>46248.0</v>
      </c>
      <c r="H9" s="14">
        <v>46248.0</v>
      </c>
      <c r="I9" s="12">
        <v>1.5</v>
      </c>
      <c r="J9" s="15" t="s">
        <v>21</v>
      </c>
      <c r="K9" s="16" t="s">
        <v>22</v>
      </c>
      <c r="L9" s="17" t="s">
        <v>43</v>
      </c>
    </row>
    <row r="10" ht="96.75" customHeight="1">
      <c r="A10" s="12">
        <v>1.0</v>
      </c>
      <c r="B10" s="12" t="s">
        <v>44</v>
      </c>
      <c r="C10" s="12" t="s">
        <v>45</v>
      </c>
      <c r="D10" s="12" t="s">
        <v>26</v>
      </c>
      <c r="E10" s="12">
        <v>3.0</v>
      </c>
      <c r="F10" s="13" t="s">
        <v>46</v>
      </c>
      <c r="G10" s="14">
        <v>46251.0</v>
      </c>
      <c r="H10" s="14">
        <v>46251.0</v>
      </c>
      <c r="I10" s="12">
        <v>1.5</v>
      </c>
      <c r="J10" s="15" t="s">
        <v>21</v>
      </c>
      <c r="K10" s="16" t="s">
        <v>22</v>
      </c>
      <c r="L10" s="17" t="s">
        <v>47</v>
      </c>
    </row>
    <row r="11" ht="99.0" customHeight="1">
      <c r="A11" s="12">
        <v>2.0</v>
      </c>
      <c r="B11" s="12" t="s">
        <v>44</v>
      </c>
      <c r="C11" s="12" t="s">
        <v>48</v>
      </c>
      <c r="D11" s="12" t="s">
        <v>49</v>
      </c>
      <c r="E11" s="12">
        <v>3.0</v>
      </c>
      <c r="F11" s="13" t="s">
        <v>50</v>
      </c>
      <c r="G11" s="14">
        <v>46244.0</v>
      </c>
      <c r="H11" s="14">
        <v>46265.0</v>
      </c>
      <c r="I11" s="12">
        <v>2.0</v>
      </c>
      <c r="J11" s="15" t="s">
        <v>21</v>
      </c>
      <c r="K11" s="16" t="s">
        <v>22</v>
      </c>
      <c r="L11" s="17" t="s">
        <v>51</v>
      </c>
    </row>
    <row r="12" ht="104.25" customHeight="1">
      <c r="A12" s="12">
        <v>2.0</v>
      </c>
      <c r="B12" s="12" t="s">
        <v>44</v>
      </c>
      <c r="C12" s="12" t="s">
        <v>52</v>
      </c>
      <c r="D12" s="12" t="s">
        <v>49</v>
      </c>
      <c r="E12" s="12">
        <v>3.0</v>
      </c>
      <c r="F12" s="13" t="s">
        <v>53</v>
      </c>
      <c r="G12" s="14">
        <v>46244.0</v>
      </c>
      <c r="H12" s="14">
        <v>46272.0</v>
      </c>
      <c r="I12" s="12">
        <v>1.5</v>
      </c>
      <c r="J12" s="15" t="s">
        <v>21</v>
      </c>
      <c r="K12" s="16" t="s">
        <v>22</v>
      </c>
      <c r="L12" s="17" t="s">
        <v>54</v>
      </c>
    </row>
    <row r="13" ht="75.75" customHeight="1">
      <c r="A13" s="12">
        <v>1.0</v>
      </c>
      <c r="B13" s="12" t="s">
        <v>55</v>
      </c>
      <c r="C13" s="12" t="s">
        <v>56</v>
      </c>
      <c r="D13" s="12" t="s">
        <v>57</v>
      </c>
      <c r="E13" s="12">
        <v>10.0</v>
      </c>
      <c r="F13" s="18" t="s">
        <v>58</v>
      </c>
      <c r="G13" s="14">
        <v>46252.0</v>
      </c>
      <c r="H13" s="14">
        <v>46254.0</v>
      </c>
      <c r="I13" s="12">
        <v>6.0</v>
      </c>
      <c r="J13" s="15" t="s">
        <v>21</v>
      </c>
      <c r="K13" s="16" t="s">
        <v>22</v>
      </c>
      <c r="L13" s="17" t="s">
        <v>59</v>
      </c>
    </row>
    <row r="14" ht="76.5" customHeight="1">
      <c r="A14" s="12">
        <v>1.0</v>
      </c>
      <c r="B14" s="12" t="s">
        <v>55</v>
      </c>
      <c r="C14" s="12" t="s">
        <v>56</v>
      </c>
      <c r="D14" s="12" t="s">
        <v>26</v>
      </c>
      <c r="E14" s="12">
        <v>10.0</v>
      </c>
      <c r="F14" s="13" t="s">
        <v>58</v>
      </c>
      <c r="G14" s="14">
        <v>46252.0</v>
      </c>
      <c r="H14" s="14">
        <v>46254.0</v>
      </c>
      <c r="I14" s="12">
        <v>6.0</v>
      </c>
      <c r="J14" s="15" t="s">
        <v>21</v>
      </c>
      <c r="K14" s="16" t="s">
        <v>22</v>
      </c>
      <c r="L14" s="17" t="s">
        <v>60</v>
      </c>
    </row>
    <row r="15" ht="111.0" customHeight="1">
      <c r="A15" s="12">
        <v>1.0</v>
      </c>
      <c r="B15" s="12" t="s">
        <v>37</v>
      </c>
      <c r="C15" s="12" t="s">
        <v>61</v>
      </c>
      <c r="D15" s="12" t="s">
        <v>62</v>
      </c>
      <c r="E15" s="12">
        <v>3.0</v>
      </c>
      <c r="F15" s="13" t="s">
        <v>63</v>
      </c>
      <c r="G15" s="14">
        <v>46258.0</v>
      </c>
      <c r="H15" s="14">
        <v>46259.0</v>
      </c>
      <c r="I15" s="12">
        <v>2.5</v>
      </c>
      <c r="J15" s="15" t="s">
        <v>21</v>
      </c>
      <c r="K15" s="16" t="s">
        <v>22</v>
      </c>
      <c r="L15" s="17" t="s">
        <v>64</v>
      </c>
    </row>
    <row r="16" ht="96.0" customHeight="1">
      <c r="A16" s="12">
        <v>1.0</v>
      </c>
      <c r="B16" s="12" t="s">
        <v>37</v>
      </c>
      <c r="C16" s="12" t="s">
        <v>65</v>
      </c>
      <c r="D16" s="12" t="s">
        <v>66</v>
      </c>
      <c r="E16" s="12">
        <v>3.0</v>
      </c>
      <c r="F16" s="13" t="s">
        <v>67</v>
      </c>
      <c r="G16" s="14">
        <v>46258.0</v>
      </c>
      <c r="H16" s="14">
        <v>46259.0</v>
      </c>
      <c r="I16" s="12">
        <v>2.0</v>
      </c>
      <c r="J16" s="15" t="s">
        <v>21</v>
      </c>
      <c r="K16" s="16" t="s">
        <v>22</v>
      </c>
      <c r="L16" s="17" t="s">
        <v>68</v>
      </c>
    </row>
    <row r="17" ht="106.5" customHeight="1">
      <c r="A17" s="12">
        <v>1.0</v>
      </c>
      <c r="B17" s="12" t="s">
        <v>37</v>
      </c>
      <c r="C17" s="12" t="s">
        <v>69</v>
      </c>
      <c r="D17" s="12" t="s">
        <v>70</v>
      </c>
      <c r="E17" s="12">
        <v>3.0</v>
      </c>
      <c r="F17" s="13" t="s">
        <v>71</v>
      </c>
      <c r="G17" s="14">
        <v>46260.0</v>
      </c>
      <c r="H17" s="14">
        <v>46261.0</v>
      </c>
      <c r="I17" s="12">
        <v>2.5</v>
      </c>
      <c r="J17" s="15" t="s">
        <v>21</v>
      </c>
      <c r="K17" s="16" t="s">
        <v>22</v>
      </c>
      <c r="L17" s="17" t="s">
        <v>72</v>
      </c>
    </row>
    <row r="18" ht="108.75" customHeight="1">
      <c r="A18" s="12">
        <v>1.0</v>
      </c>
      <c r="B18" s="12" t="s">
        <v>37</v>
      </c>
      <c r="C18" s="12" t="s">
        <v>73</v>
      </c>
      <c r="D18" s="12" t="s">
        <v>74</v>
      </c>
      <c r="E18" s="12">
        <v>3.0</v>
      </c>
      <c r="F18" s="13" t="s">
        <v>75</v>
      </c>
      <c r="G18" s="14">
        <v>46262.0</v>
      </c>
      <c r="H18" s="14">
        <v>46262.0</v>
      </c>
      <c r="I18" s="12">
        <v>2.0</v>
      </c>
      <c r="J18" s="15" t="s">
        <v>21</v>
      </c>
      <c r="K18" s="16" t="s">
        <v>22</v>
      </c>
      <c r="L18" s="17" t="s">
        <v>76</v>
      </c>
    </row>
    <row r="19" ht="107.25" customHeight="1">
      <c r="A19" s="12">
        <v>1.0</v>
      </c>
      <c r="B19" s="12" t="s">
        <v>37</v>
      </c>
      <c r="C19" s="12" t="s">
        <v>77</v>
      </c>
      <c r="D19" s="12" t="s">
        <v>78</v>
      </c>
      <c r="E19" s="12">
        <v>3.0</v>
      </c>
      <c r="F19" s="13" t="s">
        <v>79</v>
      </c>
      <c r="G19" s="14">
        <v>46262.0</v>
      </c>
      <c r="H19" s="14">
        <v>46265.0</v>
      </c>
      <c r="I19" s="12">
        <v>2.0</v>
      </c>
      <c r="J19" s="15" t="s">
        <v>21</v>
      </c>
      <c r="K19" s="16" t="s">
        <v>22</v>
      </c>
      <c r="L19" s="17" t="s">
        <v>80</v>
      </c>
    </row>
    <row r="20" ht="92.25" customHeight="1">
      <c r="A20" s="12">
        <v>1.0</v>
      </c>
      <c r="B20" s="12" t="s">
        <v>37</v>
      </c>
      <c r="C20" s="12" t="s">
        <v>81</v>
      </c>
      <c r="D20" s="12" t="s">
        <v>78</v>
      </c>
      <c r="E20" s="12">
        <v>3.0</v>
      </c>
      <c r="F20" s="13" t="s">
        <v>82</v>
      </c>
      <c r="G20" s="14">
        <v>46272.0</v>
      </c>
      <c r="H20" s="14">
        <v>46273.0</v>
      </c>
      <c r="I20" s="12">
        <v>2.5</v>
      </c>
      <c r="J20" s="15" t="s">
        <v>21</v>
      </c>
      <c r="K20" s="16" t="s">
        <v>22</v>
      </c>
      <c r="L20" s="17" t="s">
        <v>83</v>
      </c>
    </row>
    <row r="21" ht="107.25" customHeight="1">
      <c r="A21" s="12">
        <v>1.0</v>
      </c>
      <c r="B21" s="12" t="s">
        <v>37</v>
      </c>
      <c r="C21" s="12" t="s">
        <v>84</v>
      </c>
      <c r="D21" s="12" t="s">
        <v>85</v>
      </c>
      <c r="E21" s="12">
        <v>3.0</v>
      </c>
      <c r="F21" s="13" t="s">
        <v>86</v>
      </c>
      <c r="G21" s="14">
        <v>46266.0</v>
      </c>
      <c r="H21" s="14">
        <v>46267.0</v>
      </c>
      <c r="I21" s="12">
        <v>2.5</v>
      </c>
      <c r="J21" s="15" t="s">
        <v>21</v>
      </c>
      <c r="K21" s="16" t="s">
        <v>22</v>
      </c>
      <c r="L21" s="17" t="s">
        <v>87</v>
      </c>
    </row>
    <row r="22" ht="94.5" customHeight="1">
      <c r="A22" s="12">
        <v>1.0</v>
      </c>
      <c r="B22" s="12" t="s">
        <v>37</v>
      </c>
      <c r="C22" s="12" t="s">
        <v>88</v>
      </c>
      <c r="D22" s="12" t="s">
        <v>39</v>
      </c>
      <c r="E22" s="12">
        <v>3.0</v>
      </c>
      <c r="F22" s="13" t="s">
        <v>89</v>
      </c>
      <c r="G22" s="14">
        <v>46266.0</v>
      </c>
      <c r="H22" s="14">
        <v>46267.0</v>
      </c>
      <c r="I22" s="12">
        <v>2.0</v>
      </c>
      <c r="J22" s="15" t="s">
        <v>21</v>
      </c>
      <c r="K22" s="16" t="s">
        <v>22</v>
      </c>
      <c r="L22" s="17" t="s">
        <v>90</v>
      </c>
    </row>
    <row r="23" ht="100.5" customHeight="1">
      <c r="A23" s="12">
        <v>1.0</v>
      </c>
      <c r="B23" s="12" t="s">
        <v>37</v>
      </c>
      <c r="C23" s="12" t="s">
        <v>91</v>
      </c>
      <c r="D23" s="12" t="s">
        <v>19</v>
      </c>
      <c r="E23" s="12">
        <v>3.0</v>
      </c>
      <c r="F23" s="13" t="s">
        <v>92</v>
      </c>
      <c r="G23" s="14">
        <v>46268.0</v>
      </c>
      <c r="H23" s="14">
        <v>46269.0</v>
      </c>
      <c r="I23" s="12">
        <v>2.0</v>
      </c>
      <c r="J23" s="15" t="s">
        <v>21</v>
      </c>
      <c r="K23" s="16" t="s">
        <v>22</v>
      </c>
      <c r="L23" s="17" t="s">
        <v>93</v>
      </c>
    </row>
    <row r="24" ht="92.25" customHeight="1">
      <c r="A24" s="12">
        <v>1.0</v>
      </c>
      <c r="B24" s="12" t="s">
        <v>37</v>
      </c>
      <c r="C24" s="12" t="s">
        <v>91</v>
      </c>
      <c r="D24" s="12" t="s">
        <v>94</v>
      </c>
      <c r="E24" s="12">
        <v>3.0</v>
      </c>
      <c r="F24" s="13" t="s">
        <v>92</v>
      </c>
      <c r="G24" s="14">
        <v>46268.0</v>
      </c>
      <c r="H24" s="14">
        <v>46269.0</v>
      </c>
      <c r="I24" s="12">
        <v>2.0</v>
      </c>
      <c r="J24" s="15" t="s">
        <v>21</v>
      </c>
      <c r="K24" s="16" t="s">
        <v>22</v>
      </c>
      <c r="L24" s="17" t="s">
        <v>95</v>
      </c>
    </row>
    <row r="25" ht="108.75" customHeight="1">
      <c r="A25" s="12">
        <v>1.0</v>
      </c>
      <c r="B25" s="12" t="s">
        <v>37</v>
      </c>
      <c r="C25" s="12" t="s">
        <v>96</v>
      </c>
      <c r="D25" s="12" t="s">
        <v>94</v>
      </c>
      <c r="E25" s="12">
        <v>3.0</v>
      </c>
      <c r="F25" s="13" t="s">
        <v>97</v>
      </c>
      <c r="G25" s="14">
        <v>46269.0</v>
      </c>
      <c r="H25" s="14">
        <v>46272.0</v>
      </c>
      <c r="I25" s="12">
        <v>2.5</v>
      </c>
      <c r="J25" s="15" t="s">
        <v>21</v>
      </c>
      <c r="K25" s="16" t="s">
        <v>22</v>
      </c>
      <c r="L25" s="17" t="s">
        <v>98</v>
      </c>
    </row>
    <row r="26" ht="84.0" customHeight="1">
      <c r="A26" s="12">
        <v>1.0</v>
      </c>
      <c r="B26" s="12" t="s">
        <v>37</v>
      </c>
      <c r="C26" s="12" t="s">
        <v>96</v>
      </c>
      <c r="D26" s="12" t="s">
        <v>19</v>
      </c>
      <c r="E26" s="12">
        <v>3.0</v>
      </c>
      <c r="F26" s="13" t="s">
        <v>99</v>
      </c>
      <c r="G26" s="14">
        <v>46269.0</v>
      </c>
      <c r="H26" s="14">
        <v>46272.0</v>
      </c>
      <c r="I26" s="12">
        <v>2.0</v>
      </c>
      <c r="J26" s="15" t="s">
        <v>21</v>
      </c>
      <c r="K26" s="16" t="s">
        <v>22</v>
      </c>
      <c r="L26" s="17" t="s">
        <v>100</v>
      </c>
    </row>
    <row r="27" ht="82.5" customHeight="1">
      <c r="A27" s="12">
        <v>1.0</v>
      </c>
      <c r="B27" s="12" t="s">
        <v>37</v>
      </c>
      <c r="C27" s="12" t="s">
        <v>101</v>
      </c>
      <c r="D27" s="12" t="s">
        <v>19</v>
      </c>
      <c r="E27" s="12">
        <v>3.0</v>
      </c>
      <c r="F27" s="13" t="s">
        <v>102</v>
      </c>
      <c r="G27" s="14">
        <v>46272.0</v>
      </c>
      <c r="H27" s="14">
        <v>46273.0</v>
      </c>
      <c r="I27" s="12">
        <v>2.0</v>
      </c>
      <c r="J27" s="15" t="s">
        <v>21</v>
      </c>
      <c r="K27" s="16" t="s">
        <v>22</v>
      </c>
      <c r="L27" s="17" t="s">
        <v>103</v>
      </c>
    </row>
    <row r="28" ht="139.5" customHeight="1">
      <c r="A28" s="12">
        <v>1.0</v>
      </c>
      <c r="B28" s="12" t="s">
        <v>37</v>
      </c>
      <c r="C28" s="12" t="s">
        <v>104</v>
      </c>
      <c r="D28" s="12" t="s">
        <v>19</v>
      </c>
      <c r="E28" s="12">
        <v>3.0</v>
      </c>
      <c r="F28" s="13" t="s">
        <v>105</v>
      </c>
      <c r="G28" s="14">
        <v>46274.0</v>
      </c>
      <c r="H28" s="14">
        <v>46275.0</v>
      </c>
      <c r="I28" s="12">
        <v>2.0</v>
      </c>
      <c r="J28" s="15" t="s">
        <v>21</v>
      </c>
      <c r="K28" s="16" t="s">
        <v>22</v>
      </c>
      <c r="L28" s="17" t="s">
        <v>106</v>
      </c>
    </row>
    <row r="29" ht="15.75" customHeight="1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</row>
    <row r="30" ht="15.75" customHeight="1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</row>
    <row r="31" ht="15.75" customHeight="1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</row>
    <row r="32" ht="15.75" customHeight="1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</row>
    <row r="33" ht="15.75" customHeight="1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</row>
    <row r="34" ht="15.75" customHeight="1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ht="15.75" customHeight="1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</row>
    <row r="36" ht="15.75" customHeight="1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</row>
    <row r="37" ht="15.75" customHeight="1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ht="15.75" customHeight="1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</row>
    <row r="39" ht="15.75" customHeight="1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</row>
    <row r="40" ht="15.75" customHeight="1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</row>
    <row r="41" ht="15.75" customHeight="1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</row>
    <row r="42" ht="15.75" customHeight="1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</row>
    <row r="43" ht="15.75" customHeight="1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</row>
    <row r="44" ht="15.75" customHeight="1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</row>
    <row r="45" ht="15.75" customHeight="1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</row>
    <row r="46" ht="15.75" customHeight="1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</row>
    <row r="47" ht="15.75" customHeight="1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</row>
    <row r="48" ht="15.75" customHeight="1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</row>
    <row r="49" ht="15.75" customHeight="1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</row>
    <row r="50" ht="15.75" customHeight="1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ht="15.75" customHeight="1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</row>
    <row r="52" ht="15.75" customHeight="1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</row>
    <row r="53" ht="15.75" customHeight="1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</row>
    <row r="54" ht="15.75" customHeight="1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</row>
    <row r="55" ht="15.75" customHeight="1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ht="15.75" customHeight="1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</row>
    <row r="57" ht="15.75" customHeight="1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</row>
    <row r="58" ht="15.75" customHeight="1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</row>
    <row r="59" ht="15.75" customHeight="1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</row>
    <row r="60" ht="15.75" customHeight="1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</row>
    <row r="61" ht="15.75" customHeight="1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</row>
    <row r="62" ht="15.75" customHeight="1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</row>
    <row r="63" ht="15.75" customHeight="1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</row>
    <row r="64" ht="15.75" customHeight="1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</row>
    <row r="65" ht="15.75" customHeight="1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</row>
    <row r="66" ht="15.75" customHeight="1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</row>
    <row r="67" ht="15.75" customHeight="1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</row>
    <row r="68" ht="15.75" customHeight="1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</row>
    <row r="69" ht="15.75" customHeight="1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</row>
    <row r="70" ht="15.75" customHeight="1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</row>
    <row r="71" ht="15.75" customHeight="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</row>
    <row r="72" ht="15.75" customHeight="1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</row>
    <row r="73" ht="15.75" customHeight="1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</row>
    <row r="74" ht="15.75" customHeight="1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</row>
    <row r="75" ht="15.7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</row>
    <row r="76" ht="15.7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</row>
    <row r="77" ht="15.7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</row>
    <row r="78" ht="15.7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</row>
    <row r="79" ht="15.7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</row>
    <row r="80" ht="15.7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</row>
    <row r="81" ht="15.7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</row>
    <row r="82" ht="15.7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</row>
    <row r="83" ht="15.7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</row>
    <row r="84" ht="15.7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</row>
    <row r="85" ht="15.7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</row>
    <row r="86" ht="15.7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</row>
    <row r="87" ht="15.7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</row>
    <row r="88" ht="15.7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</row>
    <row r="89" ht="15.7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</row>
    <row r="90" ht="15.75" customHeight="1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</row>
    <row r="91" ht="15.75" customHeight="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</row>
    <row r="92" ht="15.75" customHeight="1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</row>
    <row r="93" ht="15.75" customHeight="1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</row>
    <row r="94" ht="15.75" customHeight="1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</row>
    <row r="95" ht="15.75" customHeight="1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</row>
    <row r="96" ht="15.75" customHeight="1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</row>
    <row r="97" ht="15.75" customHeight="1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</row>
    <row r="98" ht="15.75" customHeight="1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</row>
    <row r="99" ht="15.75" customHeight="1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</row>
    <row r="100" ht="15.75" customHeight="1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</row>
    <row r="101" ht="15.75" customHeight="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</row>
    <row r="102" ht="15.75" customHeight="1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</row>
    <row r="103" ht="15.75" customHeight="1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</row>
    <row r="104" ht="15.75" customHeight="1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</row>
    <row r="105" ht="15.7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</row>
    <row r="106" ht="15.7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</row>
    <row r="107" ht="15.7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</row>
    <row r="108" ht="15.7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</row>
    <row r="109" ht="15.7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</row>
    <row r="110" ht="15.7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</row>
    <row r="111" ht="15.7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</row>
    <row r="112" ht="15.7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</row>
    <row r="113" ht="15.7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</row>
    <row r="114" ht="15.7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</row>
    <row r="115" ht="15.7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</row>
    <row r="116" ht="15.7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</row>
    <row r="117" ht="15.7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</row>
    <row r="118" ht="15.7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</row>
    <row r="119" ht="15.7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</row>
    <row r="120" ht="15.7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</row>
    <row r="121" ht="15.7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</row>
    <row r="122" ht="15.7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</row>
    <row r="123" ht="15.7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</row>
    <row r="124" ht="15.7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</row>
    <row r="125" ht="15.7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</row>
    <row r="126" ht="15.7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</row>
    <row r="127" ht="15.7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</row>
    <row r="128" ht="15.7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</row>
    <row r="129" ht="15.7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</row>
    <row r="130" ht="15.7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</row>
    <row r="131" ht="15.7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</row>
    <row r="132" ht="15.7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</row>
    <row r="133" ht="15.7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</row>
    <row r="134" ht="15.7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</row>
    <row r="135" ht="15.7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</row>
    <row r="136" ht="15.7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</row>
    <row r="137" ht="15.7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</row>
    <row r="138" ht="15.7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</row>
    <row r="139" ht="15.7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</row>
    <row r="140" ht="15.7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</row>
    <row r="141" ht="15.7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</row>
    <row r="142" ht="15.7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</row>
    <row r="143" ht="15.7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</row>
    <row r="144" ht="15.7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</row>
    <row r="145" ht="15.7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</row>
    <row r="146" ht="15.7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</row>
    <row r="147" ht="15.7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</row>
    <row r="148" ht="15.7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</row>
    <row r="149" ht="15.7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</row>
    <row r="150" ht="15.7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</row>
    <row r="151" ht="15.7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</row>
    <row r="152" ht="15.7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</row>
    <row r="153" ht="15.7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</row>
    <row r="154" ht="15.7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</row>
    <row r="155" ht="15.7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</row>
    <row r="156" ht="15.7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</row>
    <row r="157" ht="15.7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</row>
    <row r="158" ht="15.7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</row>
    <row r="159" ht="15.7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</row>
    <row r="160" ht="15.7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</row>
    <row r="161" ht="15.7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</row>
    <row r="162" ht="15.7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</row>
    <row r="163" ht="15.7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</row>
    <row r="164" ht="15.7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</row>
    <row r="165" ht="15.7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</row>
    <row r="166" ht="15.7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</row>
    <row r="167" ht="15.7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</row>
    <row r="168" ht="15.7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</row>
    <row r="169" ht="15.7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</row>
    <row r="170" ht="15.7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</row>
    <row r="171" ht="15.7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</row>
    <row r="172" ht="15.7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</row>
    <row r="173" ht="15.7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</row>
    <row r="174" ht="15.7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</row>
    <row r="175" ht="15.7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</row>
    <row r="176" ht="15.7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</row>
    <row r="177" ht="15.7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</row>
    <row r="178" ht="15.7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</row>
    <row r="179" ht="15.7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</row>
    <row r="180" ht="15.7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</row>
    <row r="181" ht="15.7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</row>
    <row r="182" ht="15.7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</row>
    <row r="183" ht="15.7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</row>
    <row r="184" ht="15.7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</row>
    <row r="185" ht="15.7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</row>
    <row r="186" ht="15.7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</row>
    <row r="187" ht="15.7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</row>
    <row r="188" ht="15.7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</row>
    <row r="189" ht="15.7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</row>
    <row r="190" ht="15.7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</row>
    <row r="191" ht="15.7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</row>
    <row r="192" ht="15.7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</row>
    <row r="193" ht="15.7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</row>
    <row r="194" ht="15.7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</row>
    <row r="195" ht="15.7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</row>
    <row r="196" ht="15.7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</row>
    <row r="197" ht="15.7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</row>
    <row r="198" ht="15.7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</row>
    <row r="199" ht="15.7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</row>
    <row r="200" ht="15.7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</row>
    <row r="201" ht="15.7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</row>
    <row r="202" ht="15.7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</row>
    <row r="203" ht="15.7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</row>
    <row r="204" ht="15.7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</row>
    <row r="205" ht="15.7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</row>
    <row r="206" ht="15.7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</row>
    <row r="207" ht="15.7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</row>
    <row r="208" ht="15.7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</row>
    <row r="209" ht="15.7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</row>
    <row r="210" ht="15.7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</row>
    <row r="211" ht="15.7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</row>
    <row r="212" ht="15.7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</row>
    <row r="213" ht="15.7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</row>
    <row r="214" ht="15.7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</row>
    <row r="215" ht="15.7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</row>
    <row r="216" ht="15.7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</row>
    <row r="217" ht="15.7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</row>
    <row r="218" ht="15.7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</row>
    <row r="219" ht="15.7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</row>
    <row r="220" ht="15.7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</row>
    <row r="221" ht="15.7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</row>
    <row r="222" ht="15.7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</row>
    <row r="223" ht="15.7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</row>
    <row r="224" ht="15.7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</row>
    <row r="225" ht="15.7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</row>
    <row r="226" ht="15.7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</row>
    <row r="227" ht="15.7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</row>
    <row r="228" ht="15.7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</row>
    <row r="229" ht="15.7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</row>
    <row r="230" ht="15.7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</row>
    <row r="231" ht="15.7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</row>
    <row r="232" ht="15.7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</row>
    <row r="233" ht="15.7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</row>
    <row r="234" ht="15.7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</row>
    <row r="235" ht="15.7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</row>
    <row r="236" ht="15.7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</row>
    <row r="237" ht="15.7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</row>
    <row r="238" ht="15.7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</row>
    <row r="239" ht="15.7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</row>
    <row r="240" ht="15.7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</row>
    <row r="241" ht="15.7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</row>
    <row r="242" ht="15.7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</row>
    <row r="243" ht="15.7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</row>
    <row r="244" ht="15.7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</row>
    <row r="245" ht="15.7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</row>
    <row r="246" ht="15.7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</row>
    <row r="247" ht="15.7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</row>
    <row r="248" ht="15.7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</row>
    <row r="249" ht="15.7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</row>
    <row r="250" ht="15.7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</row>
    <row r="251" ht="15.7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</row>
    <row r="252" ht="15.7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</row>
    <row r="253" ht="15.7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</row>
    <row r="254" ht="15.7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</row>
    <row r="255" ht="15.7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</row>
    <row r="256" ht="15.7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</row>
    <row r="257" ht="15.7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</row>
    <row r="258" ht="15.75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</row>
    <row r="259" ht="15.75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</row>
    <row r="260" ht="15.75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</row>
    <row r="261" ht="15.75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</row>
    <row r="262" ht="15.75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</row>
    <row r="263" ht="15.75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</row>
    <row r="264" ht="15.75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</row>
    <row r="265" ht="15.75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</row>
    <row r="266" ht="15.75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</row>
    <row r="267" ht="15.75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</row>
    <row r="268" ht="15.75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</row>
    <row r="269" ht="15.75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</row>
    <row r="270" ht="15.75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</row>
    <row r="271" ht="15.75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</row>
    <row r="272" ht="15.75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</row>
    <row r="273" ht="15.75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</row>
    <row r="274" ht="15.75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</row>
    <row r="275" ht="15.75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</row>
    <row r="276" ht="15.75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</row>
    <row r="277" ht="15.75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</row>
    <row r="278" ht="15.75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</row>
    <row r="279" ht="15.75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</row>
    <row r="280" ht="15.75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</row>
    <row r="281" ht="15.75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</row>
    <row r="282" ht="15.75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</row>
    <row r="283" ht="15.75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</row>
    <row r="284" ht="15.75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</row>
    <row r="285" ht="15.75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</row>
    <row r="286" ht="15.75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</row>
    <row r="287" ht="15.75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</row>
    <row r="288" ht="15.75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</row>
    <row r="289" ht="15.75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</row>
    <row r="290" ht="15.75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</row>
    <row r="291" ht="15.75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</row>
    <row r="292" ht="15.75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</row>
    <row r="293" ht="15.75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</row>
    <row r="294" ht="15.75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</row>
    <row r="295" ht="15.75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</row>
    <row r="296" ht="15.75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</row>
    <row r="297" ht="15.75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</row>
    <row r="298" ht="15.75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</row>
    <row r="299" ht="15.75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</row>
    <row r="300" ht="15.75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</row>
    <row r="301" ht="15.75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</row>
    <row r="302" ht="15.75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</row>
    <row r="303" ht="15.75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</row>
    <row r="304" ht="15.75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</row>
    <row r="305" ht="15.75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</row>
    <row r="306" ht="15.75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</row>
    <row r="307" ht="15.75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</row>
    <row r="308" ht="15.75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</row>
    <row r="309" ht="15.75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</row>
    <row r="310" ht="15.75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</row>
    <row r="311" ht="15.75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</row>
    <row r="312" ht="15.75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</row>
    <row r="313" ht="15.75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</row>
    <row r="314" ht="15.75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</row>
    <row r="315" ht="15.75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</row>
    <row r="316" ht="15.75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</row>
    <row r="317" ht="15.75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</row>
    <row r="318" ht="15.75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</row>
    <row r="319" ht="15.75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</row>
    <row r="320" ht="15.7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</row>
    <row r="321" ht="15.7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</row>
    <row r="322" ht="15.7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</row>
    <row r="323" ht="15.7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</row>
    <row r="324" ht="15.7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</row>
    <row r="325" ht="15.7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</row>
    <row r="326" ht="15.7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</row>
    <row r="327" ht="15.7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</row>
    <row r="328" ht="15.7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</row>
    <row r="329" ht="15.7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</row>
    <row r="330" ht="15.7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</row>
    <row r="331" ht="15.7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</row>
    <row r="332" ht="15.7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</row>
    <row r="333" ht="15.7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</row>
    <row r="334" ht="15.7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</row>
    <row r="335" ht="15.7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</row>
    <row r="336" ht="15.7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</row>
    <row r="337" ht="15.7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</row>
    <row r="338" ht="15.7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</row>
    <row r="339" ht="15.7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</row>
    <row r="340" ht="15.7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</row>
    <row r="341" ht="15.7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</row>
    <row r="342" ht="15.7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</row>
    <row r="343" ht="15.7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</row>
    <row r="344" ht="15.7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</row>
    <row r="345" ht="15.7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</row>
    <row r="346" ht="15.7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</row>
    <row r="347" ht="15.7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</row>
    <row r="348" ht="15.7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</row>
    <row r="349" ht="15.7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</row>
    <row r="350" ht="15.7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</row>
    <row r="351" ht="15.7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</row>
    <row r="352" ht="15.7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</row>
    <row r="353" ht="15.7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</row>
    <row r="354" ht="15.7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</row>
    <row r="355" ht="15.7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</row>
    <row r="356" ht="15.7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</row>
    <row r="357" ht="15.7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</row>
    <row r="358" ht="15.7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</row>
    <row r="359" ht="15.7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</row>
    <row r="360" ht="15.7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</row>
    <row r="361" ht="15.7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</row>
    <row r="362" ht="15.7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</row>
    <row r="363" ht="15.7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</row>
    <row r="364" ht="15.7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</row>
    <row r="365" ht="15.7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</row>
    <row r="366" ht="15.7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</row>
    <row r="367" ht="15.7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</row>
    <row r="368" ht="15.7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</row>
    <row r="369" ht="15.7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</row>
    <row r="370" ht="15.7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</row>
    <row r="371" ht="15.7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</row>
    <row r="372" ht="15.7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</row>
    <row r="373" ht="15.7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</row>
    <row r="374" ht="15.7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</row>
    <row r="375" ht="15.7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</row>
    <row r="376" ht="15.7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</row>
    <row r="377" ht="15.7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</row>
    <row r="378" ht="15.7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</row>
    <row r="379" ht="15.7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</row>
    <row r="380" ht="15.7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</row>
    <row r="381" ht="15.7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</row>
    <row r="382" ht="15.7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</row>
    <row r="383" ht="15.7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</row>
    <row r="384" ht="15.7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</row>
    <row r="385" ht="15.7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</row>
    <row r="386" ht="15.7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</row>
    <row r="387" ht="15.7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</row>
    <row r="388" ht="15.7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</row>
    <row r="389" ht="15.7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</row>
    <row r="390" ht="15.7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</row>
    <row r="391" ht="15.7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</row>
    <row r="392" ht="15.7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</row>
    <row r="393" ht="15.7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</row>
    <row r="394" ht="15.7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</row>
    <row r="395" ht="15.7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</row>
    <row r="396" ht="15.7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</row>
    <row r="397" ht="15.7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</row>
    <row r="398" ht="15.7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</row>
    <row r="399" ht="15.7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</row>
    <row r="400" ht="15.7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</row>
    <row r="401" ht="15.7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</row>
    <row r="402" ht="15.7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</row>
    <row r="403" ht="15.7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</row>
    <row r="404" ht="15.7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</row>
    <row r="405" ht="15.7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</row>
    <row r="406" ht="15.7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</row>
    <row r="407" ht="15.7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</row>
    <row r="408" ht="15.7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</row>
    <row r="409" ht="15.7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</row>
    <row r="410" ht="15.7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</row>
    <row r="411" ht="15.7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</row>
    <row r="412" ht="15.7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</row>
    <row r="413" ht="15.7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</row>
    <row r="414" ht="15.7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</row>
    <row r="415" ht="15.7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</row>
    <row r="416" ht="15.7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</row>
    <row r="417" ht="15.7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</row>
    <row r="418" ht="15.7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</row>
    <row r="419" ht="15.7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</row>
    <row r="420" ht="15.7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</row>
    <row r="421" ht="15.7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</row>
    <row r="422" ht="15.7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</row>
    <row r="423" ht="15.7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</row>
    <row r="424" ht="15.7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</row>
    <row r="425" ht="15.7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</row>
    <row r="426" ht="15.7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</row>
    <row r="427" ht="15.7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</row>
    <row r="428" ht="15.7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</row>
    <row r="429" ht="15.7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</row>
    <row r="430" ht="15.7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</row>
    <row r="431" ht="15.7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</row>
    <row r="432" ht="15.7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</row>
    <row r="433" ht="15.7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</row>
    <row r="434" ht="15.7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</row>
    <row r="435" ht="15.7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</row>
    <row r="436" ht="15.7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</row>
    <row r="437" ht="15.7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</row>
    <row r="438" ht="15.7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</row>
    <row r="439" ht="15.7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</row>
    <row r="440" ht="15.7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</row>
    <row r="441" ht="15.7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</row>
    <row r="442" ht="15.7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</row>
    <row r="443" ht="15.7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</row>
    <row r="444" ht="15.7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</row>
    <row r="445" ht="15.7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</row>
    <row r="446" ht="15.7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</row>
    <row r="447" ht="15.7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</row>
    <row r="448" ht="15.7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</row>
    <row r="449" ht="15.7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</row>
    <row r="450" ht="15.7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</row>
    <row r="451" ht="15.7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</row>
    <row r="452" ht="15.7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</row>
    <row r="453" ht="15.7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</row>
    <row r="454" ht="15.7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</row>
    <row r="455" ht="15.7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</row>
    <row r="456" ht="15.7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</row>
    <row r="457" ht="15.7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</row>
    <row r="458" ht="15.7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</row>
    <row r="459" ht="15.7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</row>
    <row r="460" ht="15.7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</row>
    <row r="461" ht="15.7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</row>
    <row r="462" ht="15.7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</row>
    <row r="463" ht="15.7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</row>
    <row r="464" ht="15.7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</row>
    <row r="465" ht="15.7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</row>
    <row r="466" ht="15.7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</row>
    <row r="467" ht="15.7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</row>
    <row r="468" ht="15.7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</row>
    <row r="469" ht="15.7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</row>
    <row r="470" ht="15.7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</row>
    <row r="471" ht="15.7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</row>
    <row r="472" ht="15.7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</row>
    <row r="473" ht="15.7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</row>
    <row r="474" ht="15.7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</row>
    <row r="475" ht="15.7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</row>
    <row r="476" ht="15.7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</row>
    <row r="477" ht="15.7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</row>
    <row r="478" ht="15.7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</row>
    <row r="479" ht="15.7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</row>
    <row r="480" ht="15.7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</row>
    <row r="481" ht="15.7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</row>
    <row r="482" ht="15.7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</row>
    <row r="483" ht="15.7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</row>
    <row r="484" ht="15.7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</row>
    <row r="485" ht="15.7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</row>
    <row r="486" ht="15.7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</row>
    <row r="487" ht="15.7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</row>
    <row r="488" ht="15.7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</row>
    <row r="489" ht="15.7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</row>
    <row r="490" ht="15.7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</row>
    <row r="491" ht="15.7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</row>
    <row r="492" ht="15.7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</row>
    <row r="493" ht="15.7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</row>
    <row r="494" ht="15.7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</row>
    <row r="495" ht="15.7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</row>
    <row r="496" ht="15.7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</row>
    <row r="497" ht="15.7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</row>
    <row r="498" ht="15.7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</row>
    <row r="499" ht="15.7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</row>
    <row r="500" ht="15.7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</row>
    <row r="501" ht="15.7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</row>
    <row r="502" ht="15.7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</row>
    <row r="503" ht="15.7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</row>
    <row r="504" ht="15.7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</row>
    <row r="505" ht="15.7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</row>
    <row r="506" ht="15.7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</row>
    <row r="507" ht="15.7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</row>
    <row r="508" ht="15.7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</row>
    <row r="509" ht="15.7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</row>
    <row r="510" ht="15.7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</row>
    <row r="511" ht="15.7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</row>
    <row r="512" ht="15.7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</row>
    <row r="513" ht="15.7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</row>
    <row r="514" ht="15.7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</row>
    <row r="515" ht="15.7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</row>
    <row r="516" ht="15.7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</row>
    <row r="517" ht="15.7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</row>
    <row r="518" ht="15.7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</row>
    <row r="519" ht="15.7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</row>
    <row r="520" ht="15.7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</row>
    <row r="521" ht="15.7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</row>
    <row r="522" ht="15.7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</row>
    <row r="523" ht="15.7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</row>
    <row r="524" ht="15.7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</row>
    <row r="525" ht="15.7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</row>
    <row r="526" ht="15.7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</row>
    <row r="527" ht="15.7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</row>
    <row r="528" ht="15.7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</row>
    <row r="529" ht="15.7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</row>
    <row r="530" ht="15.7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</row>
    <row r="531" ht="15.7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</row>
    <row r="532" ht="15.7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</row>
    <row r="533" ht="15.7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</row>
    <row r="534" ht="15.7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</row>
    <row r="535" ht="15.7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</row>
    <row r="536" ht="15.7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</row>
    <row r="537" ht="15.7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</row>
    <row r="538" ht="15.7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</row>
    <row r="539" ht="15.7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</row>
    <row r="540" ht="15.7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</row>
    <row r="541" ht="15.7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</row>
    <row r="542" ht="15.7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</row>
    <row r="543" ht="15.7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</row>
    <row r="544" ht="15.7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</row>
    <row r="545" ht="15.7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</row>
    <row r="546" ht="15.7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</row>
    <row r="547" ht="15.7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</row>
    <row r="548" ht="15.7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</row>
    <row r="549" ht="15.7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</row>
    <row r="550" ht="15.7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</row>
    <row r="551" ht="15.7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</row>
    <row r="552" ht="15.7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</row>
    <row r="553" ht="15.7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</row>
    <row r="554" ht="15.7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</row>
    <row r="555" ht="15.7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</row>
    <row r="556" ht="15.7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</row>
    <row r="557" ht="15.7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</row>
    <row r="558" ht="15.7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</row>
    <row r="559" ht="15.7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</row>
    <row r="560" ht="15.7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</row>
    <row r="561" ht="15.7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</row>
    <row r="562" ht="15.7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</row>
    <row r="563" ht="15.7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</row>
    <row r="564" ht="15.7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</row>
    <row r="565" ht="15.7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</row>
    <row r="566" ht="15.7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</row>
    <row r="567" ht="15.7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</row>
    <row r="568" ht="15.7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</row>
    <row r="569" ht="15.7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</row>
    <row r="570" ht="15.7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</row>
    <row r="571" ht="15.7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</row>
    <row r="572" ht="15.7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</row>
    <row r="573" ht="15.7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</row>
    <row r="574" ht="15.7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</row>
    <row r="575" ht="15.7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</row>
    <row r="576" ht="15.7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</row>
    <row r="577" ht="15.7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</row>
    <row r="578" ht="15.7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</row>
    <row r="579" ht="15.7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</row>
    <row r="580" ht="15.7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</row>
    <row r="581" ht="15.7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</row>
    <row r="582" ht="15.7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</row>
    <row r="583" ht="15.7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</row>
    <row r="584" ht="15.7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</row>
    <row r="585" ht="15.7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</row>
    <row r="586" ht="15.7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</row>
    <row r="587" ht="15.7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</row>
    <row r="588" ht="15.7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</row>
    <row r="589" ht="15.7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</row>
    <row r="590" ht="15.7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</row>
    <row r="591" ht="15.7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</row>
    <row r="592" ht="15.7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</row>
    <row r="593" ht="15.7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</row>
    <row r="594" ht="15.7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</row>
    <row r="595" ht="15.7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</row>
    <row r="596" ht="15.7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</row>
    <row r="597" ht="15.7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</row>
    <row r="598" ht="15.7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</row>
    <row r="599" ht="15.7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</row>
    <row r="600" ht="15.7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</row>
    <row r="601" ht="15.7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</row>
    <row r="602" ht="15.7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</row>
    <row r="603" ht="15.7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</row>
    <row r="604" ht="15.7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</row>
    <row r="605" ht="15.7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</row>
    <row r="606" ht="15.7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</row>
    <row r="607" ht="15.7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</row>
    <row r="608" ht="15.7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</row>
    <row r="609" ht="15.7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</row>
    <row r="610" ht="15.7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</row>
    <row r="611" ht="15.7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</row>
    <row r="612" ht="15.7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</row>
    <row r="613" ht="15.7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</row>
    <row r="614" ht="15.7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</row>
    <row r="615" ht="15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</row>
    <row r="616" ht="15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</row>
    <row r="617" ht="15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</row>
    <row r="618" ht="15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</row>
    <row r="619" ht="15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</row>
    <row r="620" ht="15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</row>
    <row r="621" ht="15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</row>
    <row r="622" ht="15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</row>
    <row r="623" ht="15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</row>
    <row r="624" ht="15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</row>
    <row r="625" ht="15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</row>
    <row r="626" ht="15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</row>
    <row r="627" ht="15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</row>
    <row r="628" ht="15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</row>
    <row r="629" ht="15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</row>
    <row r="630" ht="15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</row>
    <row r="631" ht="15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</row>
    <row r="632" ht="15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</row>
    <row r="633" ht="15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</row>
    <row r="634" ht="15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</row>
    <row r="635" ht="15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</row>
    <row r="636" ht="15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</row>
    <row r="637" ht="15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</row>
    <row r="638" ht="15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</row>
    <row r="639" ht="15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</row>
    <row r="640" ht="15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</row>
    <row r="641" ht="15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</row>
    <row r="642" ht="15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</row>
    <row r="643" ht="15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</row>
    <row r="644" ht="15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</row>
    <row r="645" ht="15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</row>
    <row r="646" ht="15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</row>
    <row r="647" ht="15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</row>
    <row r="648" ht="15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</row>
    <row r="649" ht="15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</row>
    <row r="650" ht="15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</row>
    <row r="651" ht="15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</row>
    <row r="652" ht="15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</row>
    <row r="653" ht="15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</row>
    <row r="654" ht="15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</row>
    <row r="655" ht="15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</row>
    <row r="656" ht="15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</row>
    <row r="657" ht="15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</row>
    <row r="658" ht="15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</row>
    <row r="659" ht="15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</row>
    <row r="660" ht="15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</row>
    <row r="661" ht="15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</row>
    <row r="662" ht="15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</row>
    <row r="663" ht="15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</row>
    <row r="664" ht="15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</row>
    <row r="665" ht="15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</row>
    <row r="666" ht="15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</row>
    <row r="667" ht="15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</row>
    <row r="668" ht="15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</row>
    <row r="669" ht="15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</row>
    <row r="670" ht="15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</row>
    <row r="671" ht="15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</row>
    <row r="672" ht="15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</row>
    <row r="673" ht="15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</row>
    <row r="674" ht="15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</row>
    <row r="675" ht="15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</row>
    <row r="676" ht="15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</row>
    <row r="677" ht="15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</row>
    <row r="678" ht="15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</row>
    <row r="679" ht="15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</row>
    <row r="680" ht="15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</row>
    <row r="681" ht="15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</row>
    <row r="682" ht="15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</row>
    <row r="683" ht="15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</row>
    <row r="684" ht="15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</row>
    <row r="685" ht="15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</row>
    <row r="686" ht="15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</row>
    <row r="687" ht="15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</row>
    <row r="688" ht="15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</row>
    <row r="689" ht="15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</row>
    <row r="690" ht="15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</row>
    <row r="691" ht="15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</row>
    <row r="692" ht="15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</row>
    <row r="693" ht="15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</row>
    <row r="694" ht="15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</row>
    <row r="695" ht="15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</row>
    <row r="696" ht="15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</row>
    <row r="697" ht="15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</row>
    <row r="698" ht="15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</row>
    <row r="699" ht="15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</row>
    <row r="700" ht="15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</row>
    <row r="701" ht="15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</row>
    <row r="702" ht="15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</row>
    <row r="703" ht="15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</row>
    <row r="704" ht="15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</row>
    <row r="705" ht="15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</row>
    <row r="706" ht="15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</row>
    <row r="707" ht="15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</row>
    <row r="708" ht="15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</row>
    <row r="709" ht="15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</row>
    <row r="710" ht="15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</row>
    <row r="711" ht="15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</row>
    <row r="712" ht="15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</row>
    <row r="713" ht="15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</row>
    <row r="714" ht="15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</row>
    <row r="715" ht="15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</row>
    <row r="716" ht="15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</row>
    <row r="717" ht="15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</row>
    <row r="718" ht="15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</row>
    <row r="719" ht="15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</row>
    <row r="720" ht="15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</row>
    <row r="721" ht="15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</row>
    <row r="722" ht="15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</row>
    <row r="723" ht="15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</row>
    <row r="724" ht="15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</row>
    <row r="725" ht="15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</row>
    <row r="726" ht="15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</row>
    <row r="727" ht="15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</row>
    <row r="728" ht="15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</row>
    <row r="729" ht="15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</row>
    <row r="730" ht="15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</row>
    <row r="731" ht="15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</row>
    <row r="732" ht="15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</row>
    <row r="733" ht="15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</row>
    <row r="734" ht="15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</row>
    <row r="735" ht="15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</row>
    <row r="736" ht="15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</row>
    <row r="737" ht="15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</row>
    <row r="738" ht="15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</row>
    <row r="739" ht="15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</row>
    <row r="740" ht="15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</row>
    <row r="741" ht="15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</row>
    <row r="742" ht="15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</row>
    <row r="743" ht="15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</row>
    <row r="744" ht="15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</row>
    <row r="745" ht="15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</row>
    <row r="746" ht="15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</row>
    <row r="747" ht="15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</row>
    <row r="748" ht="15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</row>
    <row r="749" ht="15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</row>
    <row r="750" ht="15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</row>
    <row r="751" ht="15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</row>
    <row r="752" ht="15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</row>
    <row r="753" ht="15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</row>
    <row r="754" ht="15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</row>
    <row r="755" ht="15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</row>
    <row r="756" ht="15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</row>
    <row r="757" ht="15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</row>
    <row r="758" ht="15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</row>
    <row r="759" ht="15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</row>
    <row r="760" ht="15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</row>
    <row r="761" ht="15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</row>
    <row r="762" ht="15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</row>
    <row r="763" ht="15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</row>
    <row r="764" ht="15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</row>
    <row r="765" ht="15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</row>
    <row r="766" ht="15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</row>
    <row r="767" ht="15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</row>
    <row r="768" ht="15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</row>
    <row r="769" ht="15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</row>
    <row r="770" ht="15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</row>
    <row r="771" ht="15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</row>
    <row r="772" ht="15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</row>
    <row r="773" ht="15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</row>
    <row r="774" ht="15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</row>
    <row r="775" ht="15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</row>
    <row r="776" ht="15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</row>
    <row r="777" ht="15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</row>
    <row r="778" ht="15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</row>
    <row r="779" ht="15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</row>
    <row r="780" ht="15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</row>
    <row r="781" ht="15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</row>
    <row r="782" ht="15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</row>
    <row r="783" ht="15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</row>
    <row r="784" ht="15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</row>
    <row r="785" ht="15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</row>
    <row r="786" ht="15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</row>
    <row r="787" ht="15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</row>
    <row r="788" ht="15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</row>
    <row r="789" ht="15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</row>
    <row r="790" ht="15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</row>
    <row r="791" ht="15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</row>
    <row r="792" ht="15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</row>
    <row r="793" ht="15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</row>
    <row r="794" ht="15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</row>
    <row r="795" ht="15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</row>
    <row r="796" ht="15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</row>
    <row r="797" ht="15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</row>
    <row r="798" ht="15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</row>
    <row r="799" ht="15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</row>
    <row r="800" ht="15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</row>
    <row r="801" ht="15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</row>
    <row r="802" ht="15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</row>
    <row r="803" ht="15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</row>
    <row r="804" ht="15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</row>
    <row r="805" ht="15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</row>
    <row r="806" ht="15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</row>
    <row r="807" ht="15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</row>
    <row r="808" ht="15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</row>
    <row r="809" ht="15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</row>
    <row r="810" ht="15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</row>
    <row r="811" ht="15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</row>
    <row r="812" ht="15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</row>
    <row r="813" ht="15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</row>
    <row r="814" ht="15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</row>
    <row r="815" ht="15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</row>
    <row r="816" ht="15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</row>
    <row r="817" ht="15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</row>
    <row r="818" ht="15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</row>
    <row r="819" ht="15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</row>
    <row r="820" ht="15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</row>
    <row r="821" ht="15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</row>
    <row r="822" ht="15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</row>
    <row r="823" ht="15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</row>
    <row r="824" ht="15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</row>
    <row r="825" ht="15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</row>
    <row r="826" ht="15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</row>
    <row r="827" ht="15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</row>
    <row r="828" ht="15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</row>
    <row r="829" ht="15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</row>
    <row r="830" ht="15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</row>
    <row r="831" ht="15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</row>
    <row r="832" ht="15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</row>
    <row r="833" ht="15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</row>
    <row r="834" ht="15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</row>
    <row r="835" ht="15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</row>
    <row r="836" ht="15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</row>
    <row r="837" ht="15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</row>
    <row r="838" ht="15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</row>
    <row r="839" ht="15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</row>
    <row r="840" ht="15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</row>
    <row r="841" ht="15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</row>
    <row r="842" ht="15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</row>
    <row r="843" ht="15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</row>
    <row r="844" ht="15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</row>
    <row r="845" ht="15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</row>
    <row r="846" ht="15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</row>
    <row r="847" ht="15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</row>
    <row r="848" ht="15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</row>
    <row r="849" ht="15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</row>
    <row r="850" ht="15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</row>
    <row r="851" ht="15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</row>
    <row r="852" ht="15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</row>
    <row r="853" ht="15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</row>
    <row r="854" ht="15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</row>
    <row r="855" ht="15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</row>
    <row r="856" ht="15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</row>
    <row r="857" ht="15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</row>
    <row r="858" ht="15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</row>
    <row r="859" ht="15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</row>
    <row r="860" ht="15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</row>
    <row r="861" ht="15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</row>
    <row r="862" ht="15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</row>
    <row r="863" ht="15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</row>
    <row r="864" ht="15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</row>
    <row r="865" ht="15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</row>
    <row r="866" ht="15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</row>
    <row r="867" ht="15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</row>
    <row r="868" ht="15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</row>
    <row r="869" ht="15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</row>
    <row r="870" ht="15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</row>
    <row r="871" ht="15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</row>
    <row r="872" ht="15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</row>
    <row r="873" ht="15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</row>
    <row r="874" ht="15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</row>
    <row r="875" ht="15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</row>
    <row r="876" ht="15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</row>
    <row r="877" ht="15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</row>
    <row r="878" ht="15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</row>
    <row r="879" ht="15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</row>
    <row r="880" ht="15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</row>
    <row r="881" ht="15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</row>
    <row r="882" ht="15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</row>
    <row r="883" ht="15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</row>
    <row r="884" ht="15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</row>
    <row r="885" ht="15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</row>
    <row r="886" ht="15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</row>
    <row r="887" ht="15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</row>
    <row r="888" ht="15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</row>
    <row r="889" ht="15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</row>
    <row r="890" ht="15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</row>
    <row r="891" ht="15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</row>
    <row r="892" ht="15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</row>
    <row r="893" ht="15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</row>
    <row r="894" ht="15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</row>
    <row r="895" ht="15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</row>
    <row r="896" ht="15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</row>
    <row r="897" ht="15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</row>
    <row r="898" ht="15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</row>
    <row r="899" ht="15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</row>
    <row r="900" ht="15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</row>
    <row r="901" ht="15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</row>
    <row r="902" ht="15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</row>
    <row r="903" ht="15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</row>
    <row r="904" ht="15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</row>
    <row r="905" ht="15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</row>
    <row r="906" ht="15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</row>
    <row r="907" ht="15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</row>
    <row r="908" ht="15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</row>
    <row r="909" ht="15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</row>
    <row r="910" ht="15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</row>
    <row r="911" ht="15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</row>
    <row r="912" ht="15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</row>
    <row r="913" ht="15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</row>
    <row r="914" ht="15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</row>
    <row r="915" ht="15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</row>
    <row r="916" ht="15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</row>
    <row r="917" ht="15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</row>
    <row r="918" ht="15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</row>
    <row r="919" ht="15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</row>
    <row r="920" ht="15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</row>
    <row r="921" ht="15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</row>
    <row r="922" ht="15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</row>
    <row r="923" ht="15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</row>
    <row r="924" ht="15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</row>
    <row r="925" ht="15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</row>
    <row r="926" ht="15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</row>
    <row r="927" ht="15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</row>
    <row r="928" ht="15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</row>
    <row r="929" ht="15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</row>
    <row r="930" ht="15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</row>
    <row r="931" ht="15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</row>
    <row r="932" ht="15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</row>
    <row r="933" ht="15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</row>
    <row r="934" ht="15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</row>
    <row r="935" ht="15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</row>
    <row r="936" ht="15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</row>
    <row r="937" ht="15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</row>
    <row r="938" ht="15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</row>
    <row r="939" ht="15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</row>
    <row r="940" ht="15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</row>
    <row r="941" ht="15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</row>
    <row r="942" ht="15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</row>
    <row r="943" ht="15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</row>
    <row r="944" ht="15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</row>
    <row r="945" ht="15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</row>
    <row r="946" ht="15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</row>
    <row r="947" ht="15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</row>
    <row r="948" ht="15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</row>
    <row r="949" ht="15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</row>
    <row r="950" ht="15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</row>
    <row r="951" ht="15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</row>
    <row r="952" ht="15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</row>
    <row r="953" ht="15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</row>
    <row r="954" ht="15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</row>
    <row r="955" ht="15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</row>
    <row r="956" ht="15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</row>
    <row r="957" ht="15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</row>
    <row r="958" ht="15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</row>
    <row r="959" ht="15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</row>
    <row r="960" ht="15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</row>
    <row r="961" ht="15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</row>
    <row r="962" ht="15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</row>
    <row r="963" ht="15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</row>
    <row r="964" ht="15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</row>
    <row r="965" ht="15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</row>
    <row r="966" ht="15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</row>
    <row r="967" ht="15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</row>
    <row r="968" ht="15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</row>
    <row r="969" ht="15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</row>
    <row r="970" ht="15.7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</row>
    <row r="971" ht="15.7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</row>
    <row r="972" ht="15.7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</row>
    <row r="973" ht="15.7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</row>
    <row r="974" ht="15.7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</row>
    <row r="975" ht="15.7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</row>
    <row r="976" ht="15.7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</row>
    <row r="977" ht="15.7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</row>
    <row r="978" ht="15.7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</row>
    <row r="979" ht="15.7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</row>
    <row r="980" ht="15.7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</row>
    <row r="981" ht="15.7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</row>
    <row r="982" ht="15.7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</row>
    <row r="983" ht="15.7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</row>
    <row r="984" ht="15.7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</row>
    <row r="985" ht="15.7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</row>
    <row r="986" ht="15.7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</row>
    <row r="987" ht="15.7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</row>
    <row r="988" ht="15.7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</row>
    <row r="989" ht="15.7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</row>
    <row r="990" ht="15.7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</row>
    <row r="991" ht="15.7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</row>
    <row r="992" ht="15.7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</row>
    <row r="993" ht="15.7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</row>
    <row r="994" ht="15.7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</row>
    <row r="995" ht="15.7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</row>
    <row r="996" ht="15.7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</row>
    <row r="997" ht="15.7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</row>
    <row r="998" ht="15.7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</row>
    <row r="999" ht="15.7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</row>
    <row r="1000" ht="15.75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</row>
  </sheetData>
  <mergeCells count="4">
    <mergeCell ref="A1:I1"/>
    <mergeCell ref="A2:E2"/>
    <mergeCell ref="G2:I2"/>
    <mergeCell ref="J2:L2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6.0"/>
    <col customWidth="1" min="2" max="2" width="12.0"/>
    <col customWidth="1" min="3" max="8" width="16.0"/>
    <col customWidth="1" min="9" max="9" width="3.0"/>
    <col customWidth="1" min="10" max="10" width="24.0"/>
    <col customWidth="1" min="11" max="11" width="10.0"/>
    <col customWidth="1" min="12" max="26" width="8.71"/>
  </cols>
  <sheetData>
    <row r="1" ht="17.25" customHeight="1">
      <c r="A1" s="20" t="s">
        <v>107</v>
      </c>
      <c r="I1" s="19"/>
      <c r="J1" s="19"/>
      <c r="K1" s="19"/>
    </row>
    <row r="2" ht="15.0" customHeight="1">
      <c r="A2" s="21" t="s">
        <v>110</v>
      </c>
      <c r="I2" s="19"/>
      <c r="J2" s="19"/>
      <c r="K2" s="19"/>
    </row>
    <row r="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ht="26.25" customHeight="1">
      <c r="A4" s="22" t="s">
        <v>117</v>
      </c>
      <c r="B4" s="22" t="s">
        <v>114</v>
      </c>
      <c r="C4" s="22" t="s">
        <v>115</v>
      </c>
      <c r="D4" s="22" t="s">
        <v>116</v>
      </c>
      <c r="E4" s="22" t="s">
        <v>118</v>
      </c>
      <c r="F4" s="22" t="s">
        <v>119</v>
      </c>
      <c r="G4" s="22" t="s">
        <v>120</v>
      </c>
      <c r="H4" s="22" t="s">
        <v>121</v>
      </c>
      <c r="I4" s="19"/>
      <c r="J4" s="23" t="s">
        <v>123</v>
      </c>
      <c r="K4" s="28">
        <f>SUM(Seguimiento_Sprint!E4:E28)</f>
        <v>89</v>
      </c>
    </row>
    <row r="5" ht="15.0" customHeight="1">
      <c r="A5" s="25">
        <v>1.0</v>
      </c>
      <c r="B5" s="25" t="s">
        <v>126</v>
      </c>
      <c r="C5" s="27">
        <v>4.4167</v>
      </c>
      <c r="D5" s="27">
        <v>3.5</v>
      </c>
      <c r="E5" s="27">
        <f t="shared" ref="E5:F5" si="1">C5</f>
        <v>4.4167</v>
      </c>
      <c r="F5" s="27">
        <f t="shared" si="1"/>
        <v>3.5</v>
      </c>
      <c r="G5" s="27">
        <f t="shared" ref="G5:H5" si="2">$K$4-E5</f>
        <v>84.5833</v>
      </c>
      <c r="H5" s="27">
        <f t="shared" si="2"/>
        <v>85.5</v>
      </c>
      <c r="I5" s="19"/>
      <c r="J5" s="19"/>
      <c r="K5" s="19"/>
    </row>
    <row r="6" ht="15.0" customHeight="1">
      <c r="A6" s="25">
        <v>2.0</v>
      </c>
      <c r="B6" s="25" t="s">
        <v>129</v>
      </c>
      <c r="C6" s="27">
        <v>1.0</v>
      </c>
      <c r="D6" s="27">
        <v>1.0</v>
      </c>
      <c r="E6" s="27">
        <f t="shared" ref="E6:F6" si="3">E5+C6</f>
        <v>5.4167</v>
      </c>
      <c r="F6" s="27">
        <f t="shared" si="3"/>
        <v>4.5</v>
      </c>
      <c r="G6" s="27">
        <f t="shared" ref="G6:H6" si="4">$K$4-E6</f>
        <v>83.5833</v>
      </c>
      <c r="H6" s="27">
        <f t="shared" si="4"/>
        <v>84.5</v>
      </c>
      <c r="I6" s="19"/>
      <c r="J6" s="19"/>
      <c r="K6" s="19"/>
    </row>
    <row r="7" ht="15.0" customHeight="1">
      <c r="A7" s="25">
        <v>3.0</v>
      </c>
      <c r="B7" s="25" t="s">
        <v>131</v>
      </c>
      <c r="C7" s="27">
        <v>2.6667</v>
      </c>
      <c r="D7" s="27">
        <v>2.5</v>
      </c>
      <c r="E7" s="27">
        <f t="shared" ref="E7:F7" si="5">E6+C7</f>
        <v>8.0834</v>
      </c>
      <c r="F7" s="27">
        <f t="shared" si="5"/>
        <v>7</v>
      </c>
      <c r="G7" s="27">
        <f t="shared" ref="G7:H7" si="6">$K$4-E7</f>
        <v>80.9166</v>
      </c>
      <c r="H7" s="27">
        <f t="shared" si="6"/>
        <v>82</v>
      </c>
      <c r="I7" s="19"/>
      <c r="J7" s="19"/>
      <c r="K7" s="19"/>
    </row>
    <row r="8" ht="15.0" customHeight="1">
      <c r="A8" s="25">
        <v>4.0</v>
      </c>
      <c r="B8" s="25" t="s">
        <v>134</v>
      </c>
      <c r="C8" s="27">
        <v>4.0</v>
      </c>
      <c r="D8" s="27">
        <v>3.0</v>
      </c>
      <c r="E8" s="27">
        <f t="shared" ref="E8:F8" si="7">E7+C8</f>
        <v>12.0834</v>
      </c>
      <c r="F8" s="27">
        <f t="shared" si="7"/>
        <v>10</v>
      </c>
      <c r="G8" s="27">
        <f t="shared" ref="G8:H8" si="8">$K$4-E8</f>
        <v>76.9166</v>
      </c>
      <c r="H8" s="27">
        <f t="shared" si="8"/>
        <v>79</v>
      </c>
      <c r="I8" s="19"/>
      <c r="J8" s="19"/>
      <c r="K8" s="19"/>
    </row>
    <row r="9" ht="15.0" customHeight="1">
      <c r="A9" s="25">
        <v>5.0</v>
      </c>
      <c r="B9" s="25" t="s">
        <v>136</v>
      </c>
      <c r="C9" s="27">
        <v>7.6667</v>
      </c>
      <c r="D9" s="27">
        <v>4.5</v>
      </c>
      <c r="E9" s="27">
        <f t="shared" ref="E9:F9" si="9">E8+C9</f>
        <v>19.7501</v>
      </c>
      <c r="F9" s="27">
        <f t="shared" si="9"/>
        <v>14.5</v>
      </c>
      <c r="G9" s="27">
        <f t="shared" ref="G9:H9" si="10">$K$4-E9</f>
        <v>69.2499</v>
      </c>
      <c r="H9" s="27">
        <f t="shared" si="10"/>
        <v>74.5</v>
      </c>
      <c r="I9" s="19"/>
      <c r="J9" s="19"/>
      <c r="K9" s="19"/>
    </row>
    <row r="10" ht="15.0" customHeight="1">
      <c r="A10" s="25">
        <v>6.0</v>
      </c>
      <c r="B10" s="25" t="s">
        <v>138</v>
      </c>
      <c r="C10" s="27">
        <v>0.0</v>
      </c>
      <c r="D10" s="27">
        <v>0.0</v>
      </c>
      <c r="E10" s="27">
        <f t="shared" ref="E10:F10" si="11">E9+C10</f>
        <v>19.7501</v>
      </c>
      <c r="F10" s="27">
        <f t="shared" si="11"/>
        <v>14.5</v>
      </c>
      <c r="G10" s="27">
        <f t="shared" ref="G10:H10" si="12">$K$4-E10</f>
        <v>69.2499</v>
      </c>
      <c r="H10" s="27">
        <f t="shared" si="12"/>
        <v>74.5</v>
      </c>
      <c r="I10" s="19"/>
      <c r="J10" s="19"/>
      <c r="K10" s="19"/>
    </row>
    <row r="11" ht="15.0" customHeight="1">
      <c r="A11" s="25">
        <v>7.0</v>
      </c>
      <c r="B11" s="25" t="s">
        <v>140</v>
      </c>
      <c r="C11" s="27">
        <v>0.0</v>
      </c>
      <c r="D11" s="27">
        <v>0.0</v>
      </c>
      <c r="E11" s="27">
        <f t="shared" ref="E11:F11" si="13">E10+C11</f>
        <v>19.7501</v>
      </c>
      <c r="F11" s="27">
        <f t="shared" si="13"/>
        <v>14.5</v>
      </c>
      <c r="G11" s="27">
        <f t="shared" ref="G11:H11" si="14">$K$4-E11</f>
        <v>69.2499</v>
      </c>
      <c r="H11" s="27">
        <f t="shared" si="14"/>
        <v>74.5</v>
      </c>
      <c r="I11" s="19"/>
      <c r="J11" s="19"/>
      <c r="K11" s="19"/>
    </row>
    <row r="12" ht="15.0" customHeight="1">
      <c r="A12" s="25">
        <v>8.0</v>
      </c>
      <c r="B12" s="25" t="s">
        <v>142</v>
      </c>
      <c r="C12" s="27">
        <v>3.75</v>
      </c>
      <c r="D12" s="27">
        <v>2.0</v>
      </c>
      <c r="E12" s="27">
        <f t="shared" ref="E12:F12" si="15">E11+C12</f>
        <v>23.5001</v>
      </c>
      <c r="F12" s="27">
        <f t="shared" si="15"/>
        <v>16.5</v>
      </c>
      <c r="G12" s="27">
        <f t="shared" ref="G12:H12" si="16">$K$4-E12</f>
        <v>65.4999</v>
      </c>
      <c r="H12" s="27">
        <f t="shared" si="16"/>
        <v>72.5</v>
      </c>
      <c r="I12" s="19"/>
      <c r="J12" s="19"/>
      <c r="K12" s="19"/>
    </row>
    <row r="13" ht="15.0" customHeight="1">
      <c r="A13" s="25">
        <v>9.0</v>
      </c>
      <c r="B13" s="25" t="s">
        <v>144</v>
      </c>
      <c r="C13" s="27">
        <v>6.6667</v>
      </c>
      <c r="D13" s="27">
        <v>4.0</v>
      </c>
      <c r="E13" s="27">
        <f t="shared" ref="E13:F13" si="17">E12+C13</f>
        <v>30.1668</v>
      </c>
      <c r="F13" s="27">
        <f t="shared" si="17"/>
        <v>20.5</v>
      </c>
      <c r="G13" s="27">
        <f t="shared" ref="G13:H13" si="18">$K$4-E13</f>
        <v>58.8332</v>
      </c>
      <c r="H13" s="27">
        <f t="shared" si="18"/>
        <v>68.5</v>
      </c>
      <c r="I13" s="19"/>
      <c r="J13" s="19"/>
      <c r="K13" s="19"/>
    </row>
    <row r="14" ht="15.0" customHeight="1">
      <c r="A14" s="25">
        <v>10.0</v>
      </c>
      <c r="B14" s="25" t="s">
        <v>146</v>
      </c>
      <c r="C14" s="27">
        <v>6.6667</v>
      </c>
      <c r="D14" s="27">
        <v>4.0</v>
      </c>
      <c r="E14" s="27">
        <f t="shared" ref="E14:F14" si="19">E13+C14</f>
        <v>36.8335</v>
      </c>
      <c r="F14" s="27">
        <f t="shared" si="19"/>
        <v>24.5</v>
      </c>
      <c r="G14" s="27">
        <f t="shared" ref="G14:H14" si="20">$K$4-E14</f>
        <v>52.1665</v>
      </c>
      <c r="H14" s="27">
        <f t="shared" si="20"/>
        <v>64.5</v>
      </c>
      <c r="I14" s="19"/>
      <c r="J14" s="19"/>
      <c r="K14" s="19"/>
    </row>
    <row r="15" ht="15.0" customHeight="1">
      <c r="A15" s="25">
        <v>11.0</v>
      </c>
      <c r="B15" s="25" t="s">
        <v>148</v>
      </c>
      <c r="C15" s="27">
        <v>6.6667</v>
      </c>
      <c r="D15" s="27">
        <v>4.0</v>
      </c>
      <c r="E15" s="27">
        <f t="shared" ref="E15:F15" si="21">E14+C15</f>
        <v>43.5002</v>
      </c>
      <c r="F15" s="27">
        <f t="shared" si="21"/>
        <v>28.5</v>
      </c>
      <c r="G15" s="27">
        <f t="shared" ref="G15:H15" si="22">$K$4-E15</f>
        <v>45.4998</v>
      </c>
      <c r="H15" s="27">
        <f t="shared" si="22"/>
        <v>60.5</v>
      </c>
      <c r="I15" s="19"/>
      <c r="J15" s="19"/>
      <c r="K15" s="19"/>
    </row>
    <row r="16" ht="15.0" customHeight="1">
      <c r="A16" s="25">
        <v>12.0</v>
      </c>
      <c r="B16" s="25" t="s">
        <v>150</v>
      </c>
      <c r="C16" s="27">
        <v>0.0</v>
      </c>
      <c r="D16" s="27">
        <v>0.0</v>
      </c>
      <c r="E16" s="27">
        <f t="shared" ref="E16:F16" si="23">E15+C16</f>
        <v>43.5002</v>
      </c>
      <c r="F16" s="27">
        <f t="shared" si="23"/>
        <v>28.5</v>
      </c>
      <c r="G16" s="27">
        <f t="shared" ref="G16:H16" si="24">$K$4-E16</f>
        <v>45.4998</v>
      </c>
      <c r="H16" s="27">
        <f t="shared" si="24"/>
        <v>60.5</v>
      </c>
      <c r="I16" s="19"/>
      <c r="J16" s="19"/>
      <c r="K16" s="19"/>
    </row>
    <row r="17" ht="15.0" customHeight="1">
      <c r="A17" s="25">
        <v>13.0</v>
      </c>
      <c r="B17" s="25" t="s">
        <v>152</v>
      </c>
      <c r="C17" s="27">
        <v>0.0</v>
      </c>
      <c r="D17" s="27">
        <v>0.0</v>
      </c>
      <c r="E17" s="27">
        <f t="shared" ref="E17:F17" si="25">E16+C17</f>
        <v>43.5002</v>
      </c>
      <c r="F17" s="27">
        <f t="shared" si="25"/>
        <v>28.5</v>
      </c>
      <c r="G17" s="27">
        <f t="shared" ref="G17:H17" si="26">$K$4-E17</f>
        <v>45.4998</v>
      </c>
      <c r="H17" s="27">
        <f t="shared" si="26"/>
        <v>60.5</v>
      </c>
      <c r="I17" s="19"/>
      <c r="J17" s="19"/>
      <c r="K17" s="19"/>
    </row>
    <row r="18" ht="15.0" customHeight="1">
      <c r="A18" s="25">
        <v>14.0</v>
      </c>
      <c r="B18" s="25" t="s">
        <v>154</v>
      </c>
      <c r="C18" s="27">
        <v>0.0</v>
      </c>
      <c r="D18" s="27">
        <v>0.0</v>
      </c>
      <c r="E18" s="27">
        <f t="shared" ref="E18:F18" si="27">E17+C18</f>
        <v>43.5002</v>
      </c>
      <c r="F18" s="27">
        <f t="shared" si="27"/>
        <v>28.5</v>
      </c>
      <c r="G18" s="27">
        <f t="shared" ref="G18:H18" si="28">$K$4-E18</f>
        <v>45.4998</v>
      </c>
      <c r="H18" s="27">
        <f t="shared" si="28"/>
        <v>60.5</v>
      </c>
      <c r="I18" s="19"/>
      <c r="J18" s="19"/>
      <c r="K18" s="19"/>
    </row>
    <row r="19" ht="15.0" customHeight="1">
      <c r="A19" s="25">
        <v>15.0</v>
      </c>
      <c r="B19" s="25" t="s">
        <v>157</v>
      </c>
      <c r="C19" s="27">
        <v>4.75</v>
      </c>
      <c r="D19" s="27">
        <v>3.5</v>
      </c>
      <c r="E19" s="27">
        <f t="shared" ref="E19:F19" si="29">E18+C19</f>
        <v>48.2502</v>
      </c>
      <c r="F19" s="27">
        <f t="shared" si="29"/>
        <v>32</v>
      </c>
      <c r="G19" s="27">
        <f t="shared" ref="G19:H19" si="30">$K$4-E19</f>
        <v>40.7498</v>
      </c>
      <c r="H19" s="27">
        <f t="shared" si="30"/>
        <v>57</v>
      </c>
      <c r="I19" s="19"/>
      <c r="J19" s="19"/>
      <c r="K19" s="19"/>
    </row>
    <row r="20" ht="15.0" customHeight="1">
      <c r="A20" s="25">
        <v>16.0</v>
      </c>
      <c r="B20" s="25" t="s">
        <v>158</v>
      </c>
      <c r="C20" s="27">
        <v>3.0</v>
      </c>
      <c r="D20" s="27">
        <v>2.0</v>
      </c>
      <c r="E20" s="27">
        <f t="shared" ref="E20:F20" si="31">E19+C20</f>
        <v>51.2502</v>
      </c>
      <c r="F20" s="27">
        <f t="shared" si="31"/>
        <v>34</v>
      </c>
      <c r="G20" s="27">
        <f t="shared" ref="G20:H20" si="32">$K$4-E20</f>
        <v>37.7498</v>
      </c>
      <c r="H20" s="27">
        <f t="shared" si="32"/>
        <v>55</v>
      </c>
      <c r="I20" s="19"/>
      <c r="J20" s="19"/>
      <c r="K20" s="19"/>
    </row>
    <row r="21" ht="15.0" customHeight="1">
      <c r="A21" s="25">
        <v>17.0</v>
      </c>
      <c r="B21" s="25" t="s">
        <v>160</v>
      </c>
      <c r="C21" s="27">
        <v>1.5</v>
      </c>
      <c r="D21" s="27">
        <v>1.5</v>
      </c>
      <c r="E21" s="27">
        <f t="shared" ref="E21:F21" si="33">E20+C21</f>
        <v>52.7502</v>
      </c>
      <c r="F21" s="27">
        <f t="shared" si="33"/>
        <v>35.5</v>
      </c>
      <c r="G21" s="27">
        <f t="shared" ref="G21:H21" si="34">$K$4-E21</f>
        <v>36.2498</v>
      </c>
      <c r="H21" s="27">
        <f t="shared" si="34"/>
        <v>53.5</v>
      </c>
      <c r="I21" s="19"/>
      <c r="J21" s="19"/>
      <c r="K21" s="19"/>
    </row>
    <row r="22" ht="15.0" customHeight="1">
      <c r="A22" s="25">
        <v>18.0</v>
      </c>
      <c r="B22" s="25" t="s">
        <v>162</v>
      </c>
      <c r="C22" s="27">
        <v>1.5</v>
      </c>
      <c r="D22" s="27">
        <v>1.0</v>
      </c>
      <c r="E22" s="27">
        <f t="shared" ref="E22:F22" si="35">E21+C22</f>
        <v>54.2502</v>
      </c>
      <c r="F22" s="27">
        <f t="shared" si="35"/>
        <v>36.5</v>
      </c>
      <c r="G22" s="27">
        <f t="shared" ref="G22:H22" si="36">$K$4-E22</f>
        <v>34.7498</v>
      </c>
      <c r="H22" s="27">
        <f t="shared" si="36"/>
        <v>52.5</v>
      </c>
      <c r="I22" s="19"/>
      <c r="J22" s="19"/>
      <c r="K22" s="19"/>
    </row>
    <row r="23" ht="15.0" customHeight="1">
      <c r="A23" s="25">
        <v>19.0</v>
      </c>
      <c r="B23" s="25" t="s">
        <v>163</v>
      </c>
      <c r="C23" s="27">
        <v>4.5</v>
      </c>
      <c r="D23" s="27">
        <v>3.0</v>
      </c>
      <c r="E23" s="27">
        <f t="shared" ref="E23:F23" si="37">E22+C23</f>
        <v>58.7502</v>
      </c>
      <c r="F23" s="27">
        <f t="shared" si="37"/>
        <v>39.5</v>
      </c>
      <c r="G23" s="27">
        <f t="shared" ref="G23:H23" si="38">$K$4-E23</f>
        <v>30.2498</v>
      </c>
      <c r="H23" s="27">
        <f t="shared" si="38"/>
        <v>49.5</v>
      </c>
      <c r="I23" s="19"/>
      <c r="J23" s="19"/>
      <c r="K23" s="19"/>
    </row>
    <row r="24" ht="15.0" customHeight="1">
      <c r="A24" s="25">
        <v>20.0</v>
      </c>
      <c r="B24" s="25" t="s">
        <v>164</v>
      </c>
      <c r="C24" s="27">
        <v>0.0</v>
      </c>
      <c r="D24" s="27">
        <v>0.0</v>
      </c>
      <c r="E24" s="27">
        <f t="shared" ref="E24:F24" si="39">E23+C24</f>
        <v>58.7502</v>
      </c>
      <c r="F24" s="27">
        <f t="shared" si="39"/>
        <v>39.5</v>
      </c>
      <c r="G24" s="27">
        <f t="shared" ref="G24:H24" si="40">$K$4-E24</f>
        <v>30.2498</v>
      </c>
      <c r="H24" s="27">
        <f t="shared" si="40"/>
        <v>49.5</v>
      </c>
      <c r="I24" s="19"/>
      <c r="J24" s="19"/>
      <c r="K24" s="19"/>
    </row>
    <row r="25" ht="15.0" customHeight="1">
      <c r="A25" s="25">
        <v>21.0</v>
      </c>
      <c r="B25" s="25" t="s">
        <v>165</v>
      </c>
      <c r="C25" s="27">
        <v>0.0</v>
      </c>
      <c r="D25" s="27">
        <v>0.0</v>
      </c>
      <c r="E25" s="27">
        <f t="shared" ref="E25:F25" si="41">E24+C25</f>
        <v>58.7502</v>
      </c>
      <c r="F25" s="27">
        <f t="shared" si="41"/>
        <v>39.5</v>
      </c>
      <c r="G25" s="27">
        <f t="shared" ref="G25:H25" si="42">$K$4-E25</f>
        <v>30.2498</v>
      </c>
      <c r="H25" s="27">
        <f t="shared" si="42"/>
        <v>49.5</v>
      </c>
      <c r="I25" s="19"/>
      <c r="J25" s="19"/>
      <c r="K25" s="19"/>
    </row>
    <row r="26" ht="15.0" customHeight="1">
      <c r="A26" s="25">
        <v>22.0</v>
      </c>
      <c r="B26" s="25" t="s">
        <v>166</v>
      </c>
      <c r="C26" s="27">
        <v>2.25</v>
      </c>
      <c r="D26" s="27">
        <v>1.5</v>
      </c>
      <c r="E26" s="27">
        <f t="shared" ref="E26:F26" si="43">E25+C26</f>
        <v>61.0002</v>
      </c>
      <c r="F26" s="27">
        <f t="shared" si="43"/>
        <v>41</v>
      </c>
      <c r="G26" s="27">
        <f t="shared" ref="G26:H26" si="44">$K$4-E26</f>
        <v>27.9998</v>
      </c>
      <c r="H26" s="27">
        <f t="shared" si="44"/>
        <v>48</v>
      </c>
      <c r="I26" s="19"/>
      <c r="J26" s="19"/>
      <c r="K26" s="19"/>
    </row>
    <row r="27" ht="15.0" customHeight="1">
      <c r="A27" s="25">
        <v>23.0</v>
      </c>
      <c r="B27" s="25" t="s">
        <v>167</v>
      </c>
      <c r="C27" s="27">
        <v>3.0</v>
      </c>
      <c r="D27" s="27">
        <v>2.5</v>
      </c>
      <c r="E27" s="27">
        <f t="shared" ref="E27:F27" si="45">E26+C27</f>
        <v>64.0002</v>
      </c>
      <c r="F27" s="27">
        <f t="shared" si="45"/>
        <v>43.5</v>
      </c>
      <c r="G27" s="27">
        <f t="shared" ref="G27:H27" si="46">$K$4-E27</f>
        <v>24.9998</v>
      </c>
      <c r="H27" s="27">
        <f t="shared" si="46"/>
        <v>45.5</v>
      </c>
      <c r="I27" s="19"/>
      <c r="J27" s="19"/>
      <c r="K27" s="19"/>
    </row>
    <row r="28" ht="15.0" customHeight="1">
      <c r="A28" s="25">
        <v>24.0</v>
      </c>
      <c r="B28" s="25" t="s">
        <v>168</v>
      </c>
      <c r="C28" s="27">
        <v>3.0</v>
      </c>
      <c r="D28" s="27">
        <v>2.0</v>
      </c>
      <c r="E28" s="27">
        <f t="shared" ref="E28:F28" si="47">E27+C28</f>
        <v>67.0002</v>
      </c>
      <c r="F28" s="27">
        <f t="shared" si="47"/>
        <v>45.5</v>
      </c>
      <c r="G28" s="27">
        <f t="shared" ref="G28:H28" si="48">$K$4-E28</f>
        <v>21.9998</v>
      </c>
      <c r="H28" s="27">
        <f t="shared" si="48"/>
        <v>43.5</v>
      </c>
      <c r="I28" s="19"/>
      <c r="J28" s="19"/>
      <c r="K28" s="19"/>
    </row>
    <row r="29" ht="15.0" customHeight="1">
      <c r="A29" s="25">
        <v>25.0</v>
      </c>
      <c r="B29" s="25" t="s">
        <v>169</v>
      </c>
      <c r="C29" s="27">
        <v>3.0</v>
      </c>
      <c r="D29" s="27">
        <v>2.0</v>
      </c>
      <c r="E29" s="27">
        <f t="shared" ref="E29:F29" si="49">E28+C29</f>
        <v>70.0002</v>
      </c>
      <c r="F29" s="27">
        <f t="shared" si="49"/>
        <v>47.5</v>
      </c>
      <c r="G29" s="27">
        <f t="shared" ref="G29:H29" si="50">$K$4-E29</f>
        <v>18.9998</v>
      </c>
      <c r="H29" s="27">
        <f t="shared" si="50"/>
        <v>41.5</v>
      </c>
      <c r="I29" s="19"/>
      <c r="J29" s="19"/>
      <c r="K29" s="19"/>
    </row>
    <row r="30" ht="15.0" customHeight="1">
      <c r="A30" s="25">
        <v>26.0</v>
      </c>
      <c r="B30" s="25" t="s">
        <v>170</v>
      </c>
      <c r="C30" s="27">
        <v>6.0</v>
      </c>
      <c r="D30" s="27">
        <v>4.5</v>
      </c>
      <c r="E30" s="27">
        <f t="shared" ref="E30:F30" si="51">E29+C30</f>
        <v>76.0002</v>
      </c>
      <c r="F30" s="27">
        <f t="shared" si="51"/>
        <v>52</v>
      </c>
      <c r="G30" s="27">
        <f t="shared" ref="G30:H30" si="52">$K$4-E30</f>
        <v>12.9998</v>
      </c>
      <c r="H30" s="27">
        <f t="shared" si="52"/>
        <v>37</v>
      </c>
      <c r="I30" s="19"/>
      <c r="J30" s="19"/>
      <c r="K30" s="19"/>
    </row>
    <row r="31" ht="15.0" customHeight="1">
      <c r="A31" s="25">
        <v>27.0</v>
      </c>
      <c r="B31" s="25" t="s">
        <v>171</v>
      </c>
      <c r="C31" s="27">
        <v>0.0</v>
      </c>
      <c r="D31" s="27">
        <v>0.0</v>
      </c>
      <c r="E31" s="27">
        <f t="shared" ref="E31:F31" si="53">E30+C31</f>
        <v>76.0002</v>
      </c>
      <c r="F31" s="27">
        <f t="shared" si="53"/>
        <v>52</v>
      </c>
      <c r="G31" s="27">
        <f t="shared" ref="G31:H31" si="54">$K$4-E31</f>
        <v>12.9998</v>
      </c>
      <c r="H31" s="27">
        <f t="shared" si="54"/>
        <v>37</v>
      </c>
      <c r="I31" s="19"/>
      <c r="J31" s="19"/>
      <c r="K31" s="19"/>
    </row>
    <row r="32" ht="15.0" customHeight="1">
      <c r="A32" s="25">
        <v>28.0</v>
      </c>
      <c r="B32" s="25" t="s">
        <v>172</v>
      </c>
      <c r="C32" s="27">
        <v>0.0</v>
      </c>
      <c r="D32" s="27">
        <v>0.0</v>
      </c>
      <c r="E32" s="27">
        <f t="shared" ref="E32:F32" si="55">E31+C32</f>
        <v>76.0002</v>
      </c>
      <c r="F32" s="27">
        <f t="shared" si="55"/>
        <v>52</v>
      </c>
      <c r="G32" s="27">
        <f t="shared" ref="G32:H32" si="56">$K$4-E32</f>
        <v>12.9998</v>
      </c>
      <c r="H32" s="27">
        <f t="shared" si="56"/>
        <v>37</v>
      </c>
      <c r="I32" s="19"/>
      <c r="J32" s="19"/>
      <c r="K32" s="19"/>
    </row>
    <row r="33" ht="15.0" customHeight="1">
      <c r="A33" s="25">
        <v>29.0</v>
      </c>
      <c r="B33" s="25" t="s">
        <v>173</v>
      </c>
      <c r="C33" s="27">
        <v>7.0</v>
      </c>
      <c r="D33" s="27">
        <v>5.0</v>
      </c>
      <c r="E33" s="27">
        <f t="shared" ref="E33:F33" si="57">E32+C33</f>
        <v>83.0002</v>
      </c>
      <c r="F33" s="27">
        <f t="shared" si="57"/>
        <v>57</v>
      </c>
      <c r="G33" s="27">
        <f t="shared" ref="G33:H33" si="58">$K$4-E33</f>
        <v>5.9998</v>
      </c>
      <c r="H33" s="27">
        <f t="shared" si="58"/>
        <v>32</v>
      </c>
      <c r="I33" s="19"/>
      <c r="J33" s="19"/>
      <c r="K33" s="19"/>
    </row>
    <row r="34" ht="15.0" customHeight="1">
      <c r="A34" s="25">
        <v>30.0</v>
      </c>
      <c r="B34" s="25" t="s">
        <v>174</v>
      </c>
      <c r="C34" s="27">
        <v>3.0</v>
      </c>
      <c r="D34" s="27">
        <v>2.0</v>
      </c>
      <c r="E34" s="27">
        <f t="shared" ref="E34:F34" si="59">E33+C34</f>
        <v>86.0002</v>
      </c>
      <c r="F34" s="27">
        <f t="shared" si="59"/>
        <v>59</v>
      </c>
      <c r="G34" s="27">
        <f t="shared" ref="G34:H34" si="60">$K$4-E34</f>
        <v>2.9998</v>
      </c>
      <c r="H34" s="27">
        <f t="shared" si="60"/>
        <v>30</v>
      </c>
      <c r="I34" s="19"/>
      <c r="J34" s="19"/>
      <c r="K34" s="19"/>
    </row>
    <row r="35" ht="15.0" customHeight="1">
      <c r="A35" s="25">
        <v>31.0</v>
      </c>
      <c r="B35" s="25" t="s">
        <v>175</v>
      </c>
      <c r="C35" s="27">
        <v>1.5</v>
      </c>
      <c r="D35" s="27">
        <v>1.0</v>
      </c>
      <c r="E35" s="27">
        <f t="shared" ref="E35:F35" si="61">E34+C35</f>
        <v>87.5002</v>
      </c>
      <c r="F35" s="27">
        <f t="shared" si="61"/>
        <v>60</v>
      </c>
      <c r="G35" s="27">
        <f t="shared" ref="G35:H35" si="62">$K$4-E35</f>
        <v>1.4998</v>
      </c>
      <c r="H35" s="27">
        <f t="shared" si="62"/>
        <v>29</v>
      </c>
      <c r="I35" s="19"/>
      <c r="J35" s="19"/>
      <c r="K35" s="19"/>
    </row>
    <row r="36" ht="15.0" customHeight="1">
      <c r="A36" s="25">
        <v>32.0</v>
      </c>
      <c r="B36" s="25" t="s">
        <v>176</v>
      </c>
      <c r="C36" s="27">
        <v>1.5</v>
      </c>
      <c r="D36" s="27">
        <v>1.0</v>
      </c>
      <c r="E36" s="27">
        <f t="shared" ref="E36:F36" si="63">E35+C36</f>
        <v>89.0002</v>
      </c>
      <c r="F36" s="27">
        <f t="shared" si="63"/>
        <v>61</v>
      </c>
      <c r="G36" s="27">
        <f t="shared" ref="G36:H36" si="64">$K$4-E36</f>
        <v>-0.0002</v>
      </c>
      <c r="H36" s="27">
        <f t="shared" si="64"/>
        <v>28</v>
      </c>
      <c r="I36" s="19"/>
      <c r="J36" s="19"/>
      <c r="K36" s="19"/>
    </row>
    <row r="37" ht="15.75" customHeight="1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</row>
    <row r="38" ht="15.75" customHeight="1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</row>
    <row r="39" ht="15.75" customHeight="1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</row>
    <row r="40" ht="15.75" customHeight="1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</row>
    <row r="41" ht="15.75" customHeight="1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</row>
    <row r="42" ht="15.75" customHeight="1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</row>
    <row r="43" ht="15.75" customHeight="1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</row>
    <row r="44" ht="15.75" customHeight="1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</row>
    <row r="45" ht="15.75" customHeight="1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</row>
    <row r="46" ht="15.75" customHeight="1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</row>
    <row r="47" ht="15.75" customHeight="1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</row>
    <row r="48" ht="15.75" customHeight="1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</row>
    <row r="49" ht="15.75" customHeight="1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</row>
    <row r="50" ht="15.75" customHeight="1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</row>
    <row r="51" ht="15.75" customHeight="1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</row>
    <row r="52" ht="15.75" customHeight="1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</row>
    <row r="53" ht="15.75" customHeight="1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</row>
    <row r="54" ht="15.75" customHeight="1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</row>
    <row r="55" ht="15.75" customHeight="1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</row>
    <row r="56" ht="15.75" customHeight="1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</row>
    <row r="57" ht="15.75" customHeight="1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</row>
    <row r="58" ht="15.75" customHeight="1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</row>
    <row r="59" ht="15.75" customHeight="1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</row>
    <row r="60" ht="15.75" customHeight="1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</row>
    <row r="61" ht="15.75" customHeight="1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</row>
    <row r="62" ht="15.75" customHeight="1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</row>
    <row r="63" ht="15.75" customHeight="1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</row>
    <row r="64" ht="15.75" customHeight="1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</row>
    <row r="65" ht="15.75" customHeight="1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</row>
    <row r="66" ht="15.75" customHeight="1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</row>
    <row r="67" ht="15.75" customHeight="1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</row>
    <row r="68" ht="15.75" customHeight="1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</row>
    <row r="69" ht="15.75" customHeight="1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</row>
    <row r="70" ht="15.75" customHeight="1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</row>
    <row r="71" ht="15.75" customHeight="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</row>
    <row r="72" ht="15.75" customHeight="1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</row>
    <row r="73" ht="15.75" customHeight="1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</row>
    <row r="74" ht="15.75" customHeight="1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</row>
    <row r="75" ht="15.7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</row>
    <row r="76" ht="15.7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</row>
    <row r="77" ht="15.7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</row>
    <row r="78" ht="15.7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</row>
    <row r="79" ht="15.7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</row>
    <row r="80" ht="15.7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</row>
    <row r="81" ht="15.7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</row>
    <row r="82" ht="15.7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</row>
    <row r="83" ht="15.7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</row>
    <row r="84" ht="15.7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</row>
    <row r="85" ht="15.7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</row>
    <row r="86" ht="15.7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</row>
    <row r="87" ht="15.7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</row>
    <row r="88" ht="15.7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</row>
    <row r="89" ht="15.7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</row>
    <row r="90" ht="15.75" customHeight="1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</row>
    <row r="91" ht="15.75" customHeight="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</row>
    <row r="92" ht="15.75" customHeight="1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</row>
    <row r="93" ht="15.75" customHeight="1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</row>
    <row r="94" ht="15.75" customHeight="1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</row>
    <row r="95" ht="15.75" customHeight="1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</row>
    <row r="96" ht="15.75" customHeight="1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</row>
    <row r="97" ht="15.75" customHeight="1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</row>
    <row r="98" ht="15.75" customHeight="1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</row>
    <row r="99" ht="15.75" customHeight="1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</row>
    <row r="100" ht="15.75" customHeight="1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</row>
    <row r="101" ht="15.75" customHeight="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</row>
    <row r="102" ht="15.75" customHeight="1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</row>
    <row r="103" ht="15.75" customHeight="1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</row>
    <row r="104" ht="15.75" customHeight="1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</row>
    <row r="105" ht="15.7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</row>
    <row r="106" ht="15.7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</row>
    <row r="107" ht="15.7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</row>
    <row r="108" ht="15.7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</row>
    <row r="109" ht="15.7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</row>
    <row r="110" ht="15.7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</row>
    <row r="111" ht="15.7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</row>
    <row r="112" ht="15.7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</row>
    <row r="113" ht="15.7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</row>
    <row r="114" ht="15.7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</row>
    <row r="115" ht="15.7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</row>
    <row r="116" ht="15.7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</row>
    <row r="117" ht="15.7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</row>
    <row r="118" ht="15.7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</row>
    <row r="119" ht="15.7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</row>
    <row r="120" ht="15.7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</row>
    <row r="121" ht="15.7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</row>
    <row r="122" ht="15.7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</row>
    <row r="123" ht="15.7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</row>
    <row r="124" ht="15.7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</row>
    <row r="125" ht="15.7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</row>
    <row r="126" ht="15.7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</row>
    <row r="127" ht="15.7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</row>
    <row r="128" ht="15.7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</row>
    <row r="129" ht="15.7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</row>
    <row r="130" ht="15.7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</row>
    <row r="131" ht="15.7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</row>
    <row r="132" ht="15.7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</row>
    <row r="133" ht="15.7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</row>
    <row r="134" ht="15.7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</row>
    <row r="135" ht="15.7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</row>
    <row r="136" ht="15.7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</row>
    <row r="137" ht="15.7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</row>
    <row r="138" ht="15.7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</row>
    <row r="139" ht="15.7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</row>
    <row r="140" ht="15.7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</row>
    <row r="141" ht="15.7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</row>
    <row r="142" ht="15.7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</row>
    <row r="143" ht="15.7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</row>
    <row r="144" ht="15.7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</row>
    <row r="145" ht="15.7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</row>
    <row r="146" ht="15.7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</row>
    <row r="147" ht="15.7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</row>
    <row r="148" ht="15.7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</row>
    <row r="149" ht="15.7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</row>
    <row r="150" ht="15.7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</row>
    <row r="151" ht="15.7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</row>
    <row r="152" ht="15.7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</row>
    <row r="153" ht="15.7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</row>
    <row r="154" ht="15.7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</row>
    <row r="155" ht="15.7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</row>
    <row r="156" ht="15.7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</row>
    <row r="157" ht="15.7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</row>
    <row r="158" ht="15.7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</row>
    <row r="159" ht="15.7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</row>
    <row r="160" ht="15.7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</row>
    <row r="161" ht="15.7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</row>
    <row r="162" ht="15.7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</row>
    <row r="163" ht="15.7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</row>
    <row r="164" ht="15.7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</row>
    <row r="165" ht="15.7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</row>
    <row r="166" ht="15.7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</row>
    <row r="167" ht="15.7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</row>
    <row r="168" ht="15.7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</row>
    <row r="169" ht="15.7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</row>
    <row r="170" ht="15.7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</row>
    <row r="171" ht="15.7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</row>
    <row r="172" ht="15.7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</row>
    <row r="173" ht="15.7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</row>
    <row r="174" ht="15.7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</row>
    <row r="175" ht="15.7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</row>
    <row r="176" ht="15.7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</row>
    <row r="177" ht="15.7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</row>
    <row r="178" ht="15.7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</row>
    <row r="179" ht="15.7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</row>
    <row r="180" ht="15.7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</row>
    <row r="181" ht="15.7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</row>
    <row r="182" ht="15.7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</row>
    <row r="183" ht="15.7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</row>
    <row r="184" ht="15.7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</row>
    <row r="185" ht="15.7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</row>
    <row r="186" ht="15.7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</row>
    <row r="187" ht="15.7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</row>
    <row r="188" ht="15.7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</row>
    <row r="189" ht="15.7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</row>
    <row r="190" ht="15.7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</row>
    <row r="191" ht="15.7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</row>
    <row r="192" ht="15.7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</row>
    <row r="193" ht="15.7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</row>
    <row r="194" ht="15.7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</row>
    <row r="195" ht="15.7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</row>
    <row r="196" ht="15.7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</row>
    <row r="197" ht="15.7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</row>
    <row r="198" ht="15.7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</row>
    <row r="199" ht="15.7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</row>
    <row r="200" ht="15.7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</row>
    <row r="201" ht="15.7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</row>
    <row r="202" ht="15.7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</row>
    <row r="203" ht="15.7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</row>
    <row r="204" ht="15.7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</row>
    <row r="205" ht="15.7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</row>
    <row r="206" ht="15.7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</row>
    <row r="207" ht="15.7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</row>
    <row r="208" ht="15.7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</row>
    <row r="209" ht="15.7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</row>
    <row r="210" ht="15.7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</row>
    <row r="211" ht="15.7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</row>
    <row r="212" ht="15.7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</row>
    <row r="213" ht="15.7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</row>
    <row r="214" ht="15.7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</row>
    <row r="215" ht="15.7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</row>
    <row r="216" ht="15.7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</row>
    <row r="217" ht="15.7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</row>
    <row r="218" ht="15.7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</row>
    <row r="219" ht="15.7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</row>
    <row r="220" ht="15.7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</row>
    <row r="221" ht="15.7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</row>
    <row r="222" ht="15.7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</row>
    <row r="223" ht="15.7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</row>
    <row r="224" ht="15.7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</row>
    <row r="225" ht="15.7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</row>
    <row r="226" ht="15.7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</row>
    <row r="227" ht="15.7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</row>
    <row r="228" ht="15.7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</row>
    <row r="229" ht="15.7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</row>
    <row r="230" ht="15.7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</row>
    <row r="231" ht="15.7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</row>
    <row r="232" ht="15.7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</row>
    <row r="233" ht="15.7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</row>
    <row r="234" ht="15.7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</row>
    <row r="235" ht="15.7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</row>
    <row r="236" ht="15.7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</row>
    <row r="237" ht="15.7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</row>
    <row r="238" ht="15.7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</row>
    <row r="239" ht="15.7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</row>
    <row r="240" ht="15.7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</row>
    <row r="241" ht="15.7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</row>
    <row r="242" ht="15.7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</row>
    <row r="243" ht="15.7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</row>
    <row r="244" ht="15.7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</row>
    <row r="245" ht="15.7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</row>
    <row r="246" ht="15.7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</row>
    <row r="247" ht="15.7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</row>
    <row r="248" ht="15.7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</row>
    <row r="249" ht="15.7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</row>
    <row r="250" ht="15.7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</row>
    <row r="251" ht="15.7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</row>
    <row r="252" ht="15.7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</row>
    <row r="253" ht="15.7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</row>
    <row r="254" ht="15.7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</row>
    <row r="255" ht="15.7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</row>
    <row r="256" ht="15.7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</row>
    <row r="257" ht="15.7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</row>
    <row r="258" ht="15.75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</row>
    <row r="259" ht="15.75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</row>
    <row r="260" ht="15.75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</row>
    <row r="261" ht="15.75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</row>
    <row r="262" ht="15.75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</row>
    <row r="263" ht="15.75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</row>
    <row r="264" ht="15.75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</row>
    <row r="265" ht="15.75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</row>
    <row r="266" ht="15.75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</row>
    <row r="267" ht="15.75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</row>
    <row r="268" ht="15.75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</row>
    <row r="269" ht="15.75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</row>
    <row r="270" ht="15.75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</row>
    <row r="271" ht="15.75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</row>
    <row r="272" ht="15.75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</row>
    <row r="273" ht="15.75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</row>
    <row r="274" ht="15.75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</row>
    <row r="275" ht="15.75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</row>
    <row r="276" ht="15.75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</row>
    <row r="277" ht="15.75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</row>
    <row r="278" ht="15.75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</row>
    <row r="279" ht="15.75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</row>
    <row r="280" ht="15.75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</row>
    <row r="281" ht="15.75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</row>
    <row r="282" ht="15.75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</row>
    <row r="283" ht="15.75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</row>
    <row r="284" ht="15.75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</row>
    <row r="285" ht="15.75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</row>
    <row r="286" ht="15.75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</row>
    <row r="287" ht="15.75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</row>
    <row r="288" ht="15.75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</row>
    <row r="289" ht="15.75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</row>
    <row r="290" ht="15.75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</row>
    <row r="291" ht="15.75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</row>
    <row r="292" ht="15.75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</row>
    <row r="293" ht="15.75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</row>
    <row r="294" ht="15.75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</row>
    <row r="295" ht="15.75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</row>
    <row r="296" ht="15.75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</row>
    <row r="297" ht="15.75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</row>
    <row r="298" ht="15.75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</row>
    <row r="299" ht="15.75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</row>
    <row r="300" ht="15.75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</row>
    <row r="301" ht="15.75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</row>
    <row r="302" ht="15.75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</row>
    <row r="303" ht="15.75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</row>
    <row r="304" ht="15.75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</row>
    <row r="305" ht="15.75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</row>
    <row r="306" ht="15.75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</row>
    <row r="307" ht="15.75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</row>
    <row r="308" ht="15.75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</row>
    <row r="309" ht="15.75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</row>
    <row r="310" ht="15.75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</row>
    <row r="311" ht="15.75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</row>
    <row r="312" ht="15.75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</row>
    <row r="313" ht="15.75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</row>
    <row r="314" ht="15.75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</row>
    <row r="315" ht="15.75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</row>
    <row r="316" ht="15.75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</row>
    <row r="317" ht="15.75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</row>
    <row r="318" ht="15.75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</row>
    <row r="319" ht="15.75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</row>
    <row r="320" ht="15.7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</row>
    <row r="321" ht="15.7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</row>
    <row r="322" ht="15.7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</row>
    <row r="323" ht="15.7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</row>
    <row r="324" ht="15.7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</row>
    <row r="325" ht="15.7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</row>
    <row r="326" ht="15.7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</row>
    <row r="327" ht="15.7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</row>
    <row r="328" ht="15.7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</row>
    <row r="329" ht="15.7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</row>
    <row r="330" ht="15.7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</row>
    <row r="331" ht="15.7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</row>
    <row r="332" ht="15.7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</row>
    <row r="333" ht="15.7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</row>
    <row r="334" ht="15.7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</row>
    <row r="335" ht="15.7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</row>
    <row r="336" ht="15.7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</row>
    <row r="337" ht="15.7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</row>
    <row r="338" ht="15.7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</row>
    <row r="339" ht="15.7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</row>
    <row r="340" ht="15.7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</row>
    <row r="341" ht="15.7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</row>
    <row r="342" ht="15.7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</row>
    <row r="343" ht="15.7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</row>
    <row r="344" ht="15.7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</row>
    <row r="345" ht="15.7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</row>
    <row r="346" ht="15.7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</row>
    <row r="347" ht="15.7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</row>
    <row r="348" ht="15.7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</row>
    <row r="349" ht="15.7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</row>
    <row r="350" ht="15.7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</row>
    <row r="351" ht="15.7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</row>
    <row r="352" ht="15.7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</row>
    <row r="353" ht="15.7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</row>
    <row r="354" ht="15.7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</row>
    <row r="355" ht="15.7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</row>
    <row r="356" ht="15.7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</row>
    <row r="357" ht="15.7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</row>
    <row r="358" ht="15.7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</row>
    <row r="359" ht="15.7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</row>
    <row r="360" ht="15.7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</row>
    <row r="361" ht="15.7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</row>
    <row r="362" ht="15.7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</row>
    <row r="363" ht="15.7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</row>
    <row r="364" ht="15.7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</row>
    <row r="365" ht="15.7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</row>
    <row r="366" ht="15.7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</row>
    <row r="367" ht="15.7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</row>
    <row r="368" ht="15.7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</row>
    <row r="369" ht="15.7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</row>
    <row r="370" ht="15.7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</row>
    <row r="371" ht="15.7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</row>
    <row r="372" ht="15.7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</row>
    <row r="373" ht="15.7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</row>
    <row r="374" ht="15.7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</row>
    <row r="375" ht="15.7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</row>
    <row r="376" ht="15.7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</row>
    <row r="377" ht="15.7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</row>
    <row r="378" ht="15.7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</row>
    <row r="379" ht="15.7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</row>
    <row r="380" ht="15.7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</row>
    <row r="381" ht="15.7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</row>
    <row r="382" ht="15.7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</row>
    <row r="383" ht="15.7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</row>
    <row r="384" ht="15.7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</row>
    <row r="385" ht="15.7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</row>
    <row r="386" ht="15.7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</row>
    <row r="387" ht="15.7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</row>
    <row r="388" ht="15.7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</row>
    <row r="389" ht="15.7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</row>
    <row r="390" ht="15.7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</row>
    <row r="391" ht="15.7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</row>
    <row r="392" ht="15.7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</row>
    <row r="393" ht="15.7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</row>
    <row r="394" ht="15.7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</row>
    <row r="395" ht="15.7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</row>
    <row r="396" ht="15.7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</row>
    <row r="397" ht="15.7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</row>
    <row r="398" ht="15.7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</row>
    <row r="399" ht="15.7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</row>
    <row r="400" ht="15.7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</row>
    <row r="401" ht="15.7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</row>
    <row r="402" ht="15.7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</row>
    <row r="403" ht="15.7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</row>
    <row r="404" ht="15.7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</row>
    <row r="405" ht="15.7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</row>
    <row r="406" ht="15.7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</row>
    <row r="407" ht="15.7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</row>
    <row r="408" ht="15.7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</row>
    <row r="409" ht="15.7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</row>
    <row r="410" ht="15.7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</row>
    <row r="411" ht="15.7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</row>
    <row r="412" ht="15.7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</row>
    <row r="413" ht="15.7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</row>
    <row r="414" ht="15.7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</row>
    <row r="415" ht="15.7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</row>
    <row r="416" ht="15.7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</row>
    <row r="417" ht="15.7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</row>
    <row r="418" ht="15.7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</row>
    <row r="419" ht="15.7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</row>
    <row r="420" ht="15.7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</row>
    <row r="421" ht="15.7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</row>
    <row r="422" ht="15.7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</row>
    <row r="423" ht="15.7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</row>
    <row r="424" ht="15.7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</row>
    <row r="425" ht="15.7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</row>
    <row r="426" ht="15.7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</row>
    <row r="427" ht="15.7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</row>
    <row r="428" ht="15.7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</row>
    <row r="429" ht="15.7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</row>
    <row r="430" ht="15.7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</row>
    <row r="431" ht="15.7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</row>
    <row r="432" ht="15.7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</row>
    <row r="433" ht="15.7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</row>
    <row r="434" ht="15.7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</row>
    <row r="435" ht="15.7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</row>
    <row r="436" ht="15.7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</row>
    <row r="437" ht="15.7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</row>
    <row r="438" ht="15.7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</row>
    <row r="439" ht="15.7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</row>
    <row r="440" ht="15.7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</row>
    <row r="441" ht="15.7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</row>
    <row r="442" ht="15.7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</row>
    <row r="443" ht="15.7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</row>
    <row r="444" ht="15.7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</row>
    <row r="445" ht="15.7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</row>
    <row r="446" ht="15.7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</row>
    <row r="447" ht="15.7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</row>
    <row r="448" ht="15.7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</row>
    <row r="449" ht="15.7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</row>
    <row r="450" ht="15.7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</row>
    <row r="451" ht="15.7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</row>
    <row r="452" ht="15.7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</row>
    <row r="453" ht="15.7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</row>
    <row r="454" ht="15.7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</row>
    <row r="455" ht="15.7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</row>
    <row r="456" ht="15.7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</row>
    <row r="457" ht="15.7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</row>
    <row r="458" ht="15.7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</row>
    <row r="459" ht="15.7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</row>
    <row r="460" ht="15.7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</row>
    <row r="461" ht="15.7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</row>
    <row r="462" ht="15.7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</row>
    <row r="463" ht="15.7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</row>
    <row r="464" ht="15.7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</row>
    <row r="465" ht="15.7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</row>
    <row r="466" ht="15.7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</row>
    <row r="467" ht="15.7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</row>
    <row r="468" ht="15.7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</row>
    <row r="469" ht="15.7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</row>
    <row r="470" ht="15.7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</row>
    <row r="471" ht="15.7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</row>
    <row r="472" ht="15.7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</row>
    <row r="473" ht="15.7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</row>
    <row r="474" ht="15.7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</row>
    <row r="475" ht="15.7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</row>
    <row r="476" ht="15.7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</row>
    <row r="477" ht="15.7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</row>
    <row r="478" ht="15.7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</row>
    <row r="479" ht="15.7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</row>
    <row r="480" ht="15.7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</row>
    <row r="481" ht="15.7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</row>
    <row r="482" ht="15.7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</row>
    <row r="483" ht="15.7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</row>
    <row r="484" ht="15.7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</row>
    <row r="485" ht="15.7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</row>
    <row r="486" ht="15.7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</row>
    <row r="487" ht="15.7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</row>
    <row r="488" ht="15.7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</row>
    <row r="489" ht="15.7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</row>
    <row r="490" ht="15.7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</row>
    <row r="491" ht="15.7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</row>
    <row r="492" ht="15.7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</row>
    <row r="493" ht="15.7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</row>
    <row r="494" ht="15.7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</row>
    <row r="495" ht="15.7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</row>
    <row r="496" ht="15.7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</row>
    <row r="497" ht="15.7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</row>
    <row r="498" ht="15.7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</row>
    <row r="499" ht="15.7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</row>
    <row r="500" ht="15.7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</row>
    <row r="501" ht="15.7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</row>
    <row r="502" ht="15.7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</row>
    <row r="503" ht="15.7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</row>
    <row r="504" ht="15.7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</row>
    <row r="505" ht="15.7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</row>
    <row r="506" ht="15.7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</row>
    <row r="507" ht="15.7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</row>
    <row r="508" ht="15.7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</row>
    <row r="509" ht="15.7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</row>
    <row r="510" ht="15.7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</row>
    <row r="511" ht="15.7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</row>
    <row r="512" ht="15.7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</row>
    <row r="513" ht="15.7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</row>
    <row r="514" ht="15.7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</row>
    <row r="515" ht="15.7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</row>
    <row r="516" ht="15.7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</row>
    <row r="517" ht="15.7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</row>
    <row r="518" ht="15.7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</row>
    <row r="519" ht="15.7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</row>
    <row r="520" ht="15.7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</row>
    <row r="521" ht="15.7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</row>
    <row r="522" ht="15.7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</row>
    <row r="523" ht="15.7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</row>
    <row r="524" ht="15.7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 ht="15.7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 ht="15.7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 ht="15.7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 ht="15.7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 ht="15.7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 ht="15.7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 ht="15.7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 ht="15.7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 ht="15.7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 ht="15.7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 ht="15.7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 ht="15.7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 ht="15.7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 ht="15.7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 ht="15.7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 ht="15.7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 ht="15.7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 ht="15.7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 ht="15.7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 ht="15.7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 ht="15.7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 ht="15.7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 ht="15.7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 ht="15.7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 ht="15.7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 ht="15.7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 ht="15.7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 ht="15.7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 ht="15.7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 ht="15.7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 ht="15.7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 ht="15.7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 ht="15.7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 ht="15.7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 ht="15.7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 ht="15.7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 ht="15.7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 ht="15.7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 ht="15.7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 ht="15.7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 ht="15.7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 ht="15.7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 ht="15.7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 ht="15.7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 ht="15.7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 ht="15.7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 ht="15.7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 ht="15.7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 ht="15.7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 ht="15.7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 ht="15.7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 ht="15.7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 ht="15.7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 ht="15.7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 ht="15.7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 ht="15.7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 ht="15.7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 ht="15.7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 ht="15.7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 ht="15.7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 ht="15.7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 ht="15.7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 ht="15.7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 ht="15.7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 ht="15.7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 ht="15.7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 ht="15.7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 ht="15.7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 ht="15.7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 ht="15.7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 ht="15.7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 ht="15.7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 ht="15.7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 ht="15.7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 ht="15.7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 ht="15.7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 ht="15.7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 ht="15.7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 ht="15.7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 ht="15.7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 ht="15.7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 ht="15.7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 ht="15.7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 ht="15.7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 ht="15.7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 ht="15.7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 ht="15.7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 ht="15.7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 ht="15.7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 ht="15.7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 ht="15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 ht="15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 ht="15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 ht="15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 ht="15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 ht="15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 ht="15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 ht="15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 ht="15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 ht="15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 ht="15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 ht="15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 ht="15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 ht="15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 ht="15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 ht="15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 ht="15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 ht="15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 ht="15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 ht="15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 ht="15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 ht="15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 ht="15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 ht="15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 ht="15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 ht="15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 ht="15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 ht="15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 ht="15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 ht="15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 ht="15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 ht="15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 ht="15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 ht="15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 ht="15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 ht="15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 ht="15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 ht="15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 ht="15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 ht="15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 ht="15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 ht="15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 ht="15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 ht="15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 ht="15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 ht="15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 ht="15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 ht="15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 ht="15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 ht="15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 ht="15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 ht="15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 ht="15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 ht="15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 ht="15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 ht="15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 ht="15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 ht="15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 ht="15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 ht="15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 ht="15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 ht="15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 ht="15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 ht="15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 ht="15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 ht="15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 ht="15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 ht="15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 ht="15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 ht="15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 ht="15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 ht="15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 ht="15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 ht="15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 ht="15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 ht="15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 ht="15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 ht="15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 ht="15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 ht="15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 ht="15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 ht="15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 ht="15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 ht="15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 ht="15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 ht="15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 ht="15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 ht="15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 ht="15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 ht="15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 ht="15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 ht="15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 ht="15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 ht="15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 ht="15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 ht="15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 ht="15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 ht="15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 ht="15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 ht="15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 ht="15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 ht="15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 ht="15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 ht="15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 ht="15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 ht="15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 ht="15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 ht="15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 ht="15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 ht="15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 ht="15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 ht="15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 ht="15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 ht="15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 ht="15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 ht="15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 ht="15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 ht="15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 ht="15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 ht="15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 ht="15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 ht="15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 ht="15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 ht="15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 ht="15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 ht="15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 ht="15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 ht="15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 ht="15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 ht="15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 ht="15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 ht="15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 ht="15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 ht="15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 ht="15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 ht="15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 ht="15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 ht="15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 ht="15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 ht="15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 ht="15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 ht="15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 ht="15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 ht="15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 ht="15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 ht="15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 ht="15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 ht="15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 ht="15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 ht="15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 ht="15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 ht="15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 ht="15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 ht="15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 ht="15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 ht="15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 ht="15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 ht="15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 ht="15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 ht="15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 ht="15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 ht="15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 ht="15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 ht="15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 ht="15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 ht="15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 ht="15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 ht="15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 ht="15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 ht="15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 ht="15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 ht="15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 ht="15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 ht="15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 ht="15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 ht="15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 ht="15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 ht="15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 ht="15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 ht="15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 ht="15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 ht="15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 ht="15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 ht="15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 ht="15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 ht="15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 ht="15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 ht="15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 ht="15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 ht="15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 ht="15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 ht="15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 ht="15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 ht="15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 ht="15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 ht="15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 ht="15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 ht="15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 ht="15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 ht="15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 ht="15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 ht="15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 ht="15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 ht="15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 ht="15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 ht="15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 ht="15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 ht="15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 ht="15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 ht="15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 ht="15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 ht="15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 ht="15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 ht="15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 ht="15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 ht="15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 ht="15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 ht="15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 ht="15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 ht="15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 ht="15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 ht="15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 ht="15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 ht="15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 ht="15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 ht="15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 ht="15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 ht="15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 ht="15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 ht="15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 ht="15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 ht="15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 ht="15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 ht="15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 ht="15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 ht="15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 ht="15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 ht="15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 ht="15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 ht="15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 ht="15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 ht="15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 ht="15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 ht="15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 ht="15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 ht="15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 ht="15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 ht="15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 ht="15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 ht="15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 ht="15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 ht="15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 ht="15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 ht="15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 ht="15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 ht="15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 ht="15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 ht="15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 ht="15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 ht="15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 ht="15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 ht="15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 ht="15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 ht="15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 ht="15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 ht="15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 ht="15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 ht="15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 ht="15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 ht="15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 ht="15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 ht="15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 ht="15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 ht="15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 ht="15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 ht="15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 ht="15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 ht="15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 ht="15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 ht="15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 ht="15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 ht="15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 ht="15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 ht="15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 ht="15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 ht="15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 ht="15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 ht="15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 ht="15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 ht="15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 ht="15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 ht="15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 ht="15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 ht="15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 ht="15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 ht="15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 ht="15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 ht="15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 ht="15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 ht="15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 ht="15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 ht="15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 ht="15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 ht="15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 ht="15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 ht="15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 ht="15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 ht="15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 ht="15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 ht="15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 ht="15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 ht="15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 ht="15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 ht="15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 ht="15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 ht="15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 ht="15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 ht="15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 ht="15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 ht="15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 ht="15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 ht="15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 ht="15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 ht="15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 ht="15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 ht="15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 ht="15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 ht="15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 ht="15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 ht="15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 ht="15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 ht="15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 ht="15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 ht="15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 ht="15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 ht="15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 ht="15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 ht="15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 ht="15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 ht="15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 ht="15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 ht="15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 ht="15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 ht="15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 ht="15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 ht="15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 ht="15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 ht="15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 ht="15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 ht="15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 ht="15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 ht="15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 ht="15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 ht="15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 ht="15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 ht="15.7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 ht="15.7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 ht="15.7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 ht="15.7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 ht="15.7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 ht="15.7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 ht="15.7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 ht="15.7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 ht="15.7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 ht="15.7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 ht="15.7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 ht="15.7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 ht="15.7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 ht="15.7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 ht="15.7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 ht="15.7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 ht="15.7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 ht="15.7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 ht="15.7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 ht="15.7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 ht="15.7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 ht="15.7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 ht="15.7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 ht="15.7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 ht="15.7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 ht="15.7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 ht="15.7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 ht="15.7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 ht="15.7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 ht="15.7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 ht="15.75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</sheetData>
  <mergeCells count="2">
    <mergeCell ref="A1:H1"/>
    <mergeCell ref="A2:H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4.0"/>
    <col customWidth="1" min="2" max="3" width="11.0"/>
    <col customWidth="1" min="4" max="4" width="12.0"/>
    <col customWidth="1" min="5" max="10" width="16.0"/>
    <col customWidth="1" min="11" max="11" width="3.0"/>
    <col customWidth="1" min="12" max="12" width="46.0"/>
    <col customWidth="1" min="13" max="13" width="10.0"/>
    <col customWidth="1" min="14" max="26" width="8.71"/>
  </cols>
  <sheetData>
    <row r="1">
      <c r="A1" s="20" t="s">
        <v>108</v>
      </c>
    </row>
    <row r="2">
      <c r="A2" s="21" t="s">
        <v>109</v>
      </c>
    </row>
    <row r="4">
      <c r="A4" s="22" t="s">
        <v>111</v>
      </c>
      <c r="B4" s="22" t="s">
        <v>112</v>
      </c>
      <c r="C4" s="22" t="s">
        <v>113</v>
      </c>
      <c r="D4" s="22" t="s">
        <v>114</v>
      </c>
      <c r="E4" s="22" t="s">
        <v>115</v>
      </c>
      <c r="F4" s="22" t="s">
        <v>116</v>
      </c>
      <c r="G4" s="22" t="s">
        <v>118</v>
      </c>
      <c r="H4" s="22" t="s">
        <v>119</v>
      </c>
      <c r="I4" s="22" t="s">
        <v>120</v>
      </c>
      <c r="J4" s="22" t="s">
        <v>121</v>
      </c>
      <c r="L4" s="23" t="s">
        <v>122</v>
      </c>
      <c r="M4" s="24">
        <v>67.0</v>
      </c>
    </row>
    <row r="5">
      <c r="A5" s="25" t="s">
        <v>124</v>
      </c>
      <c r="B5" s="25">
        <v>1.0</v>
      </c>
      <c r="C5" s="25">
        <v>1.0</v>
      </c>
      <c r="D5" s="25" t="s">
        <v>125</v>
      </c>
      <c r="E5" s="26">
        <v>3.0</v>
      </c>
      <c r="F5" s="26">
        <v>2.0</v>
      </c>
      <c r="G5" s="27">
        <f t="shared" ref="G5:H5" si="1">E5</f>
        <v>3</v>
      </c>
      <c r="H5" s="27">
        <f t="shared" si="1"/>
        <v>2</v>
      </c>
      <c r="I5" s="27">
        <f t="shared" ref="I5:J5" si="2">$M$6-G5</f>
        <v>153</v>
      </c>
      <c r="J5" s="27">
        <f t="shared" si="2"/>
        <v>154</v>
      </c>
      <c r="L5" s="23" t="s">
        <v>127</v>
      </c>
      <c r="M5" s="28">
        <f>Burn_Up_Down!$K$4</f>
        <v>89</v>
      </c>
    </row>
    <row r="6">
      <c r="A6" s="25" t="s">
        <v>124</v>
      </c>
      <c r="B6" s="25">
        <v>2.0</v>
      </c>
      <c r="C6" s="25">
        <v>2.0</v>
      </c>
      <c r="D6" s="25" t="s">
        <v>128</v>
      </c>
      <c r="E6" s="26">
        <v>5.6667</v>
      </c>
      <c r="F6" s="26">
        <v>11.0</v>
      </c>
      <c r="G6" s="27">
        <f t="shared" ref="G6:H6" si="3">G5+E6</f>
        <v>8.6667</v>
      </c>
      <c r="H6" s="27">
        <f t="shared" si="3"/>
        <v>13</v>
      </c>
      <c r="I6" s="27">
        <f t="shared" ref="I6:J6" si="4">$M$6-G6</f>
        <v>147.3333</v>
      </c>
      <c r="J6" s="27">
        <f t="shared" si="4"/>
        <v>143</v>
      </c>
      <c r="L6" s="23" t="s">
        <v>130</v>
      </c>
      <c r="M6" s="28">
        <f>M4+M5</f>
        <v>156</v>
      </c>
    </row>
    <row r="7">
      <c r="A7" s="25" t="s">
        <v>124</v>
      </c>
      <c r="B7" s="25">
        <v>3.0</v>
      </c>
      <c r="C7" s="25">
        <v>3.0</v>
      </c>
      <c r="D7" s="25" t="s">
        <v>132</v>
      </c>
      <c r="E7" s="26">
        <v>0.0</v>
      </c>
      <c r="F7" s="26">
        <v>0.0</v>
      </c>
      <c r="G7" s="27">
        <f t="shared" ref="G7:H7" si="5">G6+E7</f>
        <v>8.6667</v>
      </c>
      <c r="H7" s="27">
        <f t="shared" si="5"/>
        <v>13</v>
      </c>
      <c r="I7" s="27">
        <f t="shared" ref="I7:J7" si="6">$M$6-G7</f>
        <v>147.3333</v>
      </c>
      <c r="J7" s="27">
        <f t="shared" si="6"/>
        <v>143</v>
      </c>
    </row>
    <row r="8">
      <c r="A8" s="25" t="s">
        <v>124</v>
      </c>
      <c r="B8" s="25">
        <v>4.0</v>
      </c>
      <c r="C8" s="25">
        <v>4.0</v>
      </c>
      <c r="D8" s="25" t="s">
        <v>133</v>
      </c>
      <c r="E8" s="26">
        <v>3.0</v>
      </c>
      <c r="F8" s="26">
        <v>2.0</v>
      </c>
      <c r="G8" s="27">
        <f t="shared" ref="G8:H8" si="7">G7+E8</f>
        <v>11.6667</v>
      </c>
      <c r="H8" s="27">
        <f t="shared" si="7"/>
        <v>15</v>
      </c>
      <c r="I8" s="27">
        <f t="shared" ref="I8:J8" si="8">$M$6-G8</f>
        <v>144.3333</v>
      </c>
      <c r="J8" s="27">
        <f t="shared" si="8"/>
        <v>141</v>
      </c>
    </row>
    <row r="9">
      <c r="A9" s="25" t="s">
        <v>124</v>
      </c>
      <c r="B9" s="25">
        <v>5.0</v>
      </c>
      <c r="C9" s="25">
        <v>5.0</v>
      </c>
      <c r="D9" s="25" t="s">
        <v>135</v>
      </c>
      <c r="E9" s="26">
        <v>2.0</v>
      </c>
      <c r="F9" s="26">
        <v>2.0</v>
      </c>
      <c r="G9" s="27">
        <f t="shared" ref="G9:H9" si="9">G8+E9</f>
        <v>13.6667</v>
      </c>
      <c r="H9" s="27">
        <f t="shared" si="9"/>
        <v>17</v>
      </c>
      <c r="I9" s="27">
        <f t="shared" ref="I9:J9" si="10">$M$6-G9</f>
        <v>142.3333</v>
      </c>
      <c r="J9" s="27">
        <f t="shared" si="10"/>
        <v>139</v>
      </c>
    </row>
    <row r="10">
      <c r="A10" s="25" t="s">
        <v>124</v>
      </c>
      <c r="B10" s="25">
        <v>6.0</v>
      </c>
      <c r="C10" s="25">
        <v>6.0</v>
      </c>
      <c r="D10" s="25" t="s">
        <v>137</v>
      </c>
      <c r="E10" s="26">
        <v>0.0</v>
      </c>
      <c r="F10" s="26">
        <v>0.0</v>
      </c>
      <c r="G10" s="27">
        <f t="shared" ref="G10:H10" si="11">G9+E10</f>
        <v>13.6667</v>
      </c>
      <c r="H10" s="27">
        <f t="shared" si="11"/>
        <v>17</v>
      </c>
      <c r="I10" s="27">
        <f t="shared" ref="I10:J10" si="12">$M$6-G10</f>
        <v>142.3333</v>
      </c>
      <c r="J10" s="27">
        <f t="shared" si="12"/>
        <v>139</v>
      </c>
    </row>
    <row r="11">
      <c r="A11" s="25" t="s">
        <v>124</v>
      </c>
      <c r="B11" s="25">
        <v>7.0</v>
      </c>
      <c r="C11" s="25">
        <v>7.0</v>
      </c>
      <c r="D11" s="25" t="s">
        <v>139</v>
      </c>
      <c r="E11" s="26">
        <v>5.1667</v>
      </c>
      <c r="F11" s="26">
        <v>10.0</v>
      </c>
      <c r="G11" s="27">
        <f t="shared" ref="G11:H11" si="13">G10+E11</f>
        <v>18.8334</v>
      </c>
      <c r="H11" s="27">
        <f t="shared" si="13"/>
        <v>27</v>
      </c>
      <c r="I11" s="27">
        <f t="shared" ref="I11:J11" si="14">$M$6-G11</f>
        <v>137.1666</v>
      </c>
      <c r="J11" s="27">
        <f t="shared" si="14"/>
        <v>129</v>
      </c>
    </row>
    <row r="12">
      <c r="A12" s="25" t="s">
        <v>124</v>
      </c>
      <c r="B12" s="25">
        <v>8.0</v>
      </c>
      <c r="C12" s="25">
        <v>8.0</v>
      </c>
      <c r="D12" s="25" t="s">
        <v>141</v>
      </c>
      <c r="E12" s="26">
        <v>2.0</v>
      </c>
      <c r="F12" s="26">
        <v>1.0</v>
      </c>
      <c r="G12" s="27">
        <f t="shared" ref="G12:H12" si="15">G11+E12</f>
        <v>20.8334</v>
      </c>
      <c r="H12" s="27">
        <f t="shared" si="15"/>
        <v>28</v>
      </c>
      <c r="I12" s="27">
        <f t="shared" ref="I12:J12" si="16">$M$6-G12</f>
        <v>135.1666</v>
      </c>
      <c r="J12" s="27">
        <f t="shared" si="16"/>
        <v>128</v>
      </c>
    </row>
    <row r="13">
      <c r="A13" s="25" t="s">
        <v>124</v>
      </c>
      <c r="B13" s="25">
        <v>9.0</v>
      </c>
      <c r="C13" s="25">
        <v>9.0</v>
      </c>
      <c r="D13" s="25" t="s">
        <v>143</v>
      </c>
      <c r="E13" s="26">
        <v>6.0</v>
      </c>
      <c r="F13" s="26">
        <v>5.0</v>
      </c>
      <c r="G13" s="27">
        <f t="shared" ref="G13:H13" si="17">G12+E13</f>
        <v>26.8334</v>
      </c>
      <c r="H13" s="27">
        <f t="shared" si="17"/>
        <v>33</v>
      </c>
      <c r="I13" s="27">
        <f t="shared" ref="I13:J13" si="18">$M$6-G13</f>
        <v>129.1666</v>
      </c>
      <c r="J13" s="27">
        <f t="shared" si="18"/>
        <v>123</v>
      </c>
    </row>
    <row r="14">
      <c r="A14" s="25" t="s">
        <v>124</v>
      </c>
      <c r="B14" s="25">
        <v>10.0</v>
      </c>
      <c r="C14" s="25">
        <v>10.0</v>
      </c>
      <c r="D14" s="25" t="s">
        <v>145</v>
      </c>
      <c r="E14" s="26">
        <v>0.0</v>
      </c>
      <c r="F14" s="26">
        <v>0.0</v>
      </c>
      <c r="G14" s="27">
        <f t="shared" ref="G14:H14" si="19">G13+E14</f>
        <v>26.8334</v>
      </c>
      <c r="H14" s="27">
        <f t="shared" si="19"/>
        <v>33</v>
      </c>
      <c r="I14" s="27">
        <f t="shared" ref="I14:J14" si="20">$M$6-G14</f>
        <v>129.1666</v>
      </c>
      <c r="J14" s="27">
        <f t="shared" si="20"/>
        <v>123</v>
      </c>
    </row>
    <row r="15">
      <c r="A15" s="25" t="s">
        <v>124</v>
      </c>
      <c r="B15" s="25">
        <v>11.0</v>
      </c>
      <c r="C15" s="25">
        <v>11.0</v>
      </c>
      <c r="D15" s="25" t="s">
        <v>147</v>
      </c>
      <c r="E15" s="26">
        <v>4.0</v>
      </c>
      <c r="F15" s="26">
        <v>2.0</v>
      </c>
      <c r="G15" s="27">
        <f t="shared" ref="G15:H15" si="21">G14+E15</f>
        <v>30.8334</v>
      </c>
      <c r="H15" s="27">
        <f t="shared" si="21"/>
        <v>35</v>
      </c>
      <c r="I15" s="27">
        <f t="shared" ref="I15:J15" si="22">$M$6-G15</f>
        <v>125.1666</v>
      </c>
      <c r="J15" s="27">
        <f t="shared" si="22"/>
        <v>121</v>
      </c>
    </row>
    <row r="16">
      <c r="A16" s="25" t="s">
        <v>124</v>
      </c>
      <c r="B16" s="25">
        <v>12.0</v>
      </c>
      <c r="C16" s="25">
        <v>12.0</v>
      </c>
      <c r="D16" s="25" t="s">
        <v>149</v>
      </c>
      <c r="E16" s="26">
        <v>2.5</v>
      </c>
      <c r="F16" s="26">
        <v>2.0</v>
      </c>
      <c r="G16" s="27">
        <f t="shared" ref="G16:H16" si="23">G15+E16</f>
        <v>33.3334</v>
      </c>
      <c r="H16" s="27">
        <f t="shared" si="23"/>
        <v>37</v>
      </c>
      <c r="I16" s="27">
        <f t="shared" ref="I16:J16" si="24">$M$6-G16</f>
        <v>122.6666</v>
      </c>
      <c r="J16" s="27">
        <f t="shared" si="24"/>
        <v>119</v>
      </c>
    </row>
    <row r="17">
      <c r="A17" s="25" t="s">
        <v>124</v>
      </c>
      <c r="B17" s="25">
        <v>13.0</v>
      </c>
      <c r="C17" s="25">
        <v>13.0</v>
      </c>
      <c r="D17" s="25" t="s">
        <v>151</v>
      </c>
      <c r="E17" s="26">
        <v>5.0</v>
      </c>
      <c r="F17" s="26">
        <v>2.0</v>
      </c>
      <c r="G17" s="27">
        <f t="shared" ref="G17:H17" si="25">G16+E17</f>
        <v>38.3334</v>
      </c>
      <c r="H17" s="27">
        <f t="shared" si="25"/>
        <v>39</v>
      </c>
      <c r="I17" s="27">
        <f t="shared" ref="I17:J17" si="26">$M$6-G17</f>
        <v>117.6666</v>
      </c>
      <c r="J17" s="27">
        <f t="shared" si="26"/>
        <v>117</v>
      </c>
    </row>
    <row r="18">
      <c r="A18" s="25" t="s">
        <v>124</v>
      </c>
      <c r="B18" s="25">
        <v>14.0</v>
      </c>
      <c r="C18" s="25">
        <v>14.0</v>
      </c>
      <c r="D18" s="25" t="s">
        <v>153</v>
      </c>
      <c r="E18" s="26">
        <v>3.6667</v>
      </c>
      <c r="F18" s="26">
        <v>3.0</v>
      </c>
      <c r="G18" s="27">
        <f t="shared" ref="G18:H18" si="27">G17+E18</f>
        <v>42.0001</v>
      </c>
      <c r="H18" s="27">
        <f t="shared" si="27"/>
        <v>42</v>
      </c>
      <c r="I18" s="27">
        <f t="shared" ref="I18:J18" si="28">$M$6-G18</f>
        <v>113.9999</v>
      </c>
      <c r="J18" s="27">
        <f t="shared" si="28"/>
        <v>114</v>
      </c>
    </row>
    <row r="19">
      <c r="A19" s="25" t="s">
        <v>124</v>
      </c>
      <c r="B19" s="25">
        <v>15.0</v>
      </c>
      <c r="C19" s="25">
        <v>15.0</v>
      </c>
      <c r="D19" s="25" t="s">
        <v>155</v>
      </c>
      <c r="E19" s="26">
        <v>10.1667</v>
      </c>
      <c r="F19" s="26">
        <v>7.0</v>
      </c>
      <c r="G19" s="27">
        <f t="shared" ref="G19:H19" si="29">G18+E19</f>
        <v>52.1668</v>
      </c>
      <c r="H19" s="27">
        <f t="shared" si="29"/>
        <v>49</v>
      </c>
      <c r="I19" s="27">
        <f t="shared" ref="I19:J19" si="30">$M$6-G19</f>
        <v>103.8332</v>
      </c>
      <c r="J19" s="27">
        <f t="shared" si="30"/>
        <v>107</v>
      </c>
    </row>
    <row r="20">
      <c r="A20" s="25" t="s">
        <v>124</v>
      </c>
      <c r="B20" s="25">
        <v>16.0</v>
      </c>
      <c r="C20" s="25">
        <v>16.0</v>
      </c>
      <c r="D20" s="25" t="s">
        <v>156</v>
      </c>
      <c r="E20" s="26">
        <v>6.6667</v>
      </c>
      <c r="F20" s="26">
        <v>5.0</v>
      </c>
      <c r="G20" s="27">
        <f t="shared" ref="G20:H20" si="31">G19+E20</f>
        <v>58.8335</v>
      </c>
      <c r="H20" s="27">
        <f t="shared" si="31"/>
        <v>54</v>
      </c>
      <c r="I20" s="27">
        <f t="shared" ref="I20:J20" si="32">$M$6-G20</f>
        <v>97.1665</v>
      </c>
      <c r="J20" s="27">
        <f t="shared" si="32"/>
        <v>102</v>
      </c>
    </row>
    <row r="21" ht="15.75" customHeight="1">
      <c r="A21" s="25" t="s">
        <v>124</v>
      </c>
      <c r="B21" s="25">
        <v>17.0</v>
      </c>
      <c r="C21" s="25">
        <v>17.0</v>
      </c>
      <c r="D21" s="25" t="s">
        <v>159</v>
      </c>
      <c r="E21" s="26">
        <v>8.1667</v>
      </c>
      <c r="F21" s="26">
        <v>8.0</v>
      </c>
      <c r="G21" s="27">
        <f t="shared" ref="G21:H21" si="33">G20+E21</f>
        <v>67.0002</v>
      </c>
      <c r="H21" s="27">
        <f t="shared" si="33"/>
        <v>62</v>
      </c>
      <c r="I21" s="27">
        <f t="shared" ref="I21:J21" si="34">$M$6-G21</f>
        <v>88.9998</v>
      </c>
      <c r="J21" s="27">
        <f t="shared" si="34"/>
        <v>94</v>
      </c>
    </row>
    <row r="22" ht="15.75" customHeight="1">
      <c r="A22" s="25" t="s">
        <v>161</v>
      </c>
      <c r="B22" s="25">
        <v>1.0</v>
      </c>
      <c r="C22" s="25">
        <v>18.0</v>
      </c>
      <c r="D22" s="25" t="str">
        <f>Burn_Up_Down!B5</f>
        <v>2026-08-10</v>
      </c>
      <c r="E22" s="27">
        <f>Burn_Up_Down!C5</f>
        <v>4.4167</v>
      </c>
      <c r="F22" s="27">
        <f>Burn_Up_Down!D5</f>
        <v>3.5</v>
      </c>
      <c r="G22" s="27">
        <f t="shared" ref="G22:H22" si="35">G21+E22</f>
        <v>71.4169</v>
      </c>
      <c r="H22" s="27">
        <f t="shared" si="35"/>
        <v>65.5</v>
      </c>
      <c r="I22" s="27">
        <f t="shared" ref="I22:J22" si="36">$M$6-G22</f>
        <v>84.5831</v>
      </c>
      <c r="J22" s="27">
        <f t="shared" si="36"/>
        <v>90.5</v>
      </c>
    </row>
    <row r="23" ht="15.75" customHeight="1">
      <c r="A23" s="25" t="s">
        <v>161</v>
      </c>
      <c r="B23" s="25">
        <v>2.0</v>
      </c>
      <c r="C23" s="25">
        <v>19.0</v>
      </c>
      <c r="D23" s="25" t="str">
        <f>Burn_Up_Down!B6</f>
        <v>2026-08-11</v>
      </c>
      <c r="E23" s="27">
        <f>Burn_Up_Down!C6</f>
        <v>1</v>
      </c>
      <c r="F23" s="27">
        <f>Burn_Up_Down!D6</f>
        <v>1</v>
      </c>
      <c r="G23" s="27">
        <f t="shared" ref="G23:H23" si="37">G22+E23</f>
        <v>72.4169</v>
      </c>
      <c r="H23" s="27">
        <f t="shared" si="37"/>
        <v>66.5</v>
      </c>
      <c r="I23" s="27">
        <f t="shared" ref="I23:J23" si="38">$M$6-G23</f>
        <v>83.5831</v>
      </c>
      <c r="J23" s="27">
        <f t="shared" si="38"/>
        <v>89.5</v>
      </c>
    </row>
    <row r="24" ht="15.75" customHeight="1">
      <c r="A24" s="25" t="s">
        <v>161</v>
      </c>
      <c r="B24" s="25">
        <v>3.0</v>
      </c>
      <c r="C24" s="25">
        <v>20.0</v>
      </c>
      <c r="D24" s="25" t="str">
        <f>Burn_Up_Down!B7</f>
        <v>2026-08-12</v>
      </c>
      <c r="E24" s="27">
        <f>Burn_Up_Down!C7</f>
        <v>2.6667</v>
      </c>
      <c r="F24" s="27">
        <f>Burn_Up_Down!D7</f>
        <v>2.5</v>
      </c>
      <c r="G24" s="27">
        <f t="shared" ref="G24:H24" si="39">G23+E24</f>
        <v>75.0836</v>
      </c>
      <c r="H24" s="27">
        <f t="shared" si="39"/>
        <v>69</v>
      </c>
      <c r="I24" s="27">
        <f t="shared" ref="I24:J24" si="40">$M$6-G24</f>
        <v>80.9164</v>
      </c>
      <c r="J24" s="27">
        <f t="shared" si="40"/>
        <v>87</v>
      </c>
    </row>
    <row r="25" ht="15.75" customHeight="1">
      <c r="A25" s="25" t="s">
        <v>161</v>
      </c>
      <c r="B25" s="25">
        <v>4.0</v>
      </c>
      <c r="C25" s="25">
        <v>21.0</v>
      </c>
      <c r="D25" s="25" t="str">
        <f>Burn_Up_Down!B8</f>
        <v>2026-08-13</v>
      </c>
      <c r="E25" s="27">
        <f>Burn_Up_Down!C8</f>
        <v>4</v>
      </c>
      <c r="F25" s="27">
        <f>Burn_Up_Down!D8</f>
        <v>3</v>
      </c>
      <c r="G25" s="27">
        <f t="shared" ref="G25:H25" si="41">G24+E25</f>
        <v>79.0836</v>
      </c>
      <c r="H25" s="27">
        <f t="shared" si="41"/>
        <v>72</v>
      </c>
      <c r="I25" s="27">
        <f t="shared" ref="I25:J25" si="42">$M$6-G25</f>
        <v>76.9164</v>
      </c>
      <c r="J25" s="27">
        <f t="shared" si="42"/>
        <v>84</v>
      </c>
    </row>
    <row r="26" ht="15.75" customHeight="1">
      <c r="A26" s="25" t="s">
        <v>161</v>
      </c>
      <c r="B26" s="25">
        <v>5.0</v>
      </c>
      <c r="C26" s="25">
        <v>22.0</v>
      </c>
      <c r="D26" s="25" t="str">
        <f>Burn_Up_Down!B9</f>
        <v>2026-08-14</v>
      </c>
      <c r="E26" s="27">
        <f>Burn_Up_Down!C9</f>
        <v>7.6667</v>
      </c>
      <c r="F26" s="27">
        <f>Burn_Up_Down!D9</f>
        <v>4.5</v>
      </c>
      <c r="G26" s="27">
        <f t="shared" ref="G26:H26" si="43">G25+E26</f>
        <v>86.7503</v>
      </c>
      <c r="H26" s="27">
        <f t="shared" si="43"/>
        <v>76.5</v>
      </c>
      <c r="I26" s="27">
        <f t="shared" ref="I26:J26" si="44">$M$6-G26</f>
        <v>69.2497</v>
      </c>
      <c r="J26" s="27">
        <f t="shared" si="44"/>
        <v>79.5</v>
      </c>
    </row>
    <row r="27" ht="15.75" customHeight="1">
      <c r="A27" s="25" t="s">
        <v>161</v>
      </c>
      <c r="B27" s="25">
        <v>6.0</v>
      </c>
      <c r="C27" s="25">
        <v>23.0</v>
      </c>
      <c r="D27" s="25" t="str">
        <f>Burn_Up_Down!B10</f>
        <v>2026-08-15</v>
      </c>
      <c r="E27" s="27">
        <f>Burn_Up_Down!C10</f>
        <v>0</v>
      </c>
      <c r="F27" s="27">
        <f>Burn_Up_Down!D10</f>
        <v>0</v>
      </c>
      <c r="G27" s="27">
        <f t="shared" ref="G27:H27" si="45">G26+E27</f>
        <v>86.7503</v>
      </c>
      <c r="H27" s="27">
        <f t="shared" si="45"/>
        <v>76.5</v>
      </c>
      <c r="I27" s="27">
        <f t="shared" ref="I27:J27" si="46">$M$6-G27</f>
        <v>69.2497</v>
      </c>
      <c r="J27" s="27">
        <f t="shared" si="46"/>
        <v>79.5</v>
      </c>
    </row>
    <row r="28" ht="15.75" customHeight="1">
      <c r="A28" s="25" t="s">
        <v>161</v>
      </c>
      <c r="B28" s="25">
        <v>7.0</v>
      </c>
      <c r="C28" s="25">
        <v>24.0</v>
      </c>
      <c r="D28" s="25" t="str">
        <f>Burn_Up_Down!B11</f>
        <v>2026-08-16</v>
      </c>
      <c r="E28" s="27">
        <f>Burn_Up_Down!C11</f>
        <v>0</v>
      </c>
      <c r="F28" s="27">
        <f>Burn_Up_Down!D11</f>
        <v>0</v>
      </c>
      <c r="G28" s="27">
        <f t="shared" ref="G28:H28" si="47">G27+E28</f>
        <v>86.7503</v>
      </c>
      <c r="H28" s="27">
        <f t="shared" si="47"/>
        <v>76.5</v>
      </c>
      <c r="I28" s="27">
        <f t="shared" ref="I28:J28" si="48">$M$6-G28</f>
        <v>69.2497</v>
      </c>
      <c r="J28" s="27">
        <f t="shared" si="48"/>
        <v>79.5</v>
      </c>
    </row>
    <row r="29" ht="15.75" customHeight="1">
      <c r="A29" s="25" t="s">
        <v>161</v>
      </c>
      <c r="B29" s="25">
        <v>8.0</v>
      </c>
      <c r="C29" s="25">
        <v>25.0</v>
      </c>
      <c r="D29" s="25" t="str">
        <f>Burn_Up_Down!B12</f>
        <v>2026-08-17</v>
      </c>
      <c r="E29" s="27">
        <f>Burn_Up_Down!C12</f>
        <v>3.75</v>
      </c>
      <c r="F29" s="27">
        <f>Burn_Up_Down!D12</f>
        <v>2</v>
      </c>
      <c r="G29" s="27">
        <f t="shared" ref="G29:H29" si="49">G28+E29</f>
        <v>90.5003</v>
      </c>
      <c r="H29" s="27">
        <f t="shared" si="49"/>
        <v>78.5</v>
      </c>
      <c r="I29" s="27">
        <f t="shared" ref="I29:J29" si="50">$M$6-G29</f>
        <v>65.4997</v>
      </c>
      <c r="J29" s="27">
        <f t="shared" si="50"/>
        <v>77.5</v>
      </c>
    </row>
    <row r="30" ht="15.75" customHeight="1">
      <c r="A30" s="25" t="s">
        <v>161</v>
      </c>
      <c r="B30" s="25">
        <v>9.0</v>
      </c>
      <c r="C30" s="25">
        <v>26.0</v>
      </c>
      <c r="D30" s="25" t="str">
        <f>Burn_Up_Down!B13</f>
        <v>2026-08-18</v>
      </c>
      <c r="E30" s="27">
        <f>Burn_Up_Down!C13</f>
        <v>6.6667</v>
      </c>
      <c r="F30" s="27">
        <f>Burn_Up_Down!D13</f>
        <v>4</v>
      </c>
      <c r="G30" s="27">
        <f t="shared" ref="G30:H30" si="51">G29+E30</f>
        <v>97.167</v>
      </c>
      <c r="H30" s="27">
        <f t="shared" si="51"/>
        <v>82.5</v>
      </c>
      <c r="I30" s="27">
        <f t="shared" ref="I30:J30" si="52">$M$6-G30</f>
        <v>58.833</v>
      </c>
      <c r="J30" s="27">
        <f t="shared" si="52"/>
        <v>73.5</v>
      </c>
    </row>
    <row r="31" ht="15.75" customHeight="1">
      <c r="A31" s="25" t="s">
        <v>161</v>
      </c>
      <c r="B31" s="25">
        <v>10.0</v>
      </c>
      <c r="C31" s="25">
        <v>27.0</v>
      </c>
      <c r="D31" s="25" t="str">
        <f>Burn_Up_Down!B14</f>
        <v>2026-08-19</v>
      </c>
      <c r="E31" s="27">
        <f>Burn_Up_Down!C14</f>
        <v>6.6667</v>
      </c>
      <c r="F31" s="27">
        <f>Burn_Up_Down!D14</f>
        <v>4</v>
      </c>
      <c r="G31" s="27">
        <f t="shared" ref="G31:H31" si="53">G30+E31</f>
        <v>103.8337</v>
      </c>
      <c r="H31" s="27">
        <f t="shared" si="53"/>
        <v>86.5</v>
      </c>
      <c r="I31" s="27">
        <f t="shared" ref="I31:J31" si="54">$M$6-G31</f>
        <v>52.1663</v>
      </c>
      <c r="J31" s="27">
        <f t="shared" si="54"/>
        <v>69.5</v>
      </c>
    </row>
    <row r="32" ht="15.75" customHeight="1">
      <c r="A32" s="25" t="s">
        <v>161</v>
      </c>
      <c r="B32" s="25">
        <v>11.0</v>
      </c>
      <c r="C32" s="25">
        <v>28.0</v>
      </c>
      <c r="D32" s="25" t="str">
        <f>Burn_Up_Down!B15</f>
        <v>2026-08-20</v>
      </c>
      <c r="E32" s="27">
        <f>Burn_Up_Down!C15</f>
        <v>6.6667</v>
      </c>
      <c r="F32" s="27">
        <f>Burn_Up_Down!D15</f>
        <v>4</v>
      </c>
      <c r="G32" s="27">
        <f t="shared" ref="G32:H32" si="55">G31+E32</f>
        <v>110.5004</v>
      </c>
      <c r="H32" s="27">
        <f t="shared" si="55"/>
        <v>90.5</v>
      </c>
      <c r="I32" s="27">
        <f t="shared" ref="I32:J32" si="56">$M$6-G32</f>
        <v>45.4996</v>
      </c>
      <c r="J32" s="27">
        <f t="shared" si="56"/>
        <v>65.5</v>
      </c>
    </row>
    <row r="33" ht="15.75" customHeight="1">
      <c r="A33" s="25" t="s">
        <v>161</v>
      </c>
      <c r="B33" s="25">
        <v>12.0</v>
      </c>
      <c r="C33" s="25">
        <v>29.0</v>
      </c>
      <c r="D33" s="25" t="str">
        <f>Burn_Up_Down!B16</f>
        <v>2026-08-21</v>
      </c>
      <c r="E33" s="27">
        <f>Burn_Up_Down!C16</f>
        <v>0</v>
      </c>
      <c r="F33" s="27">
        <f>Burn_Up_Down!D16</f>
        <v>0</v>
      </c>
      <c r="G33" s="27">
        <f t="shared" ref="G33:H33" si="57">G32+E33</f>
        <v>110.5004</v>
      </c>
      <c r="H33" s="27">
        <f t="shared" si="57"/>
        <v>90.5</v>
      </c>
      <c r="I33" s="27">
        <f t="shared" ref="I33:J33" si="58">$M$6-G33</f>
        <v>45.4996</v>
      </c>
      <c r="J33" s="27">
        <f t="shared" si="58"/>
        <v>65.5</v>
      </c>
    </row>
    <row r="34" ht="15.75" customHeight="1">
      <c r="A34" s="25" t="s">
        <v>161</v>
      </c>
      <c r="B34" s="25">
        <v>13.0</v>
      </c>
      <c r="C34" s="25">
        <v>30.0</v>
      </c>
      <c r="D34" s="25" t="str">
        <f>Burn_Up_Down!B17</f>
        <v>2026-08-22</v>
      </c>
      <c r="E34" s="27">
        <f>Burn_Up_Down!C17</f>
        <v>0</v>
      </c>
      <c r="F34" s="27">
        <f>Burn_Up_Down!D17</f>
        <v>0</v>
      </c>
      <c r="G34" s="27">
        <f t="shared" ref="G34:H34" si="59">G33+E34</f>
        <v>110.5004</v>
      </c>
      <c r="H34" s="27">
        <f t="shared" si="59"/>
        <v>90.5</v>
      </c>
      <c r="I34" s="27">
        <f t="shared" ref="I34:J34" si="60">$M$6-G34</f>
        <v>45.4996</v>
      </c>
      <c r="J34" s="27">
        <f t="shared" si="60"/>
        <v>65.5</v>
      </c>
    </row>
    <row r="35" ht="15.75" customHeight="1">
      <c r="A35" s="25" t="s">
        <v>161</v>
      </c>
      <c r="B35" s="25">
        <v>14.0</v>
      </c>
      <c r="C35" s="25">
        <v>31.0</v>
      </c>
      <c r="D35" s="25" t="str">
        <f>Burn_Up_Down!B18</f>
        <v>2026-08-23</v>
      </c>
      <c r="E35" s="27">
        <f>Burn_Up_Down!C18</f>
        <v>0</v>
      </c>
      <c r="F35" s="27">
        <f>Burn_Up_Down!D18</f>
        <v>0</v>
      </c>
      <c r="G35" s="27">
        <f t="shared" ref="G35:H35" si="61">G34+E35</f>
        <v>110.5004</v>
      </c>
      <c r="H35" s="27">
        <f t="shared" si="61"/>
        <v>90.5</v>
      </c>
      <c r="I35" s="27">
        <f t="shared" ref="I35:J35" si="62">$M$6-G35</f>
        <v>45.4996</v>
      </c>
      <c r="J35" s="27">
        <f t="shared" si="62"/>
        <v>65.5</v>
      </c>
    </row>
    <row r="36" ht="15.75" customHeight="1">
      <c r="A36" s="25" t="s">
        <v>161</v>
      </c>
      <c r="B36" s="25">
        <v>15.0</v>
      </c>
      <c r="C36" s="25">
        <v>32.0</v>
      </c>
      <c r="D36" s="25" t="str">
        <f>Burn_Up_Down!B19</f>
        <v>2026-08-24</v>
      </c>
      <c r="E36" s="27">
        <f>Burn_Up_Down!C19</f>
        <v>4.75</v>
      </c>
      <c r="F36" s="27">
        <f>Burn_Up_Down!D19</f>
        <v>3.5</v>
      </c>
      <c r="G36" s="27">
        <f t="shared" ref="G36:H36" si="63">G35+E36</f>
        <v>115.2504</v>
      </c>
      <c r="H36" s="27">
        <f t="shared" si="63"/>
        <v>94</v>
      </c>
      <c r="I36" s="27">
        <f t="shared" ref="I36:J36" si="64">$M$6-G36</f>
        <v>40.7496</v>
      </c>
      <c r="J36" s="27">
        <f t="shared" si="64"/>
        <v>62</v>
      </c>
    </row>
    <row r="37" ht="15.75" customHeight="1">
      <c r="A37" s="25" t="s">
        <v>161</v>
      </c>
      <c r="B37" s="25">
        <v>16.0</v>
      </c>
      <c r="C37" s="25">
        <v>33.0</v>
      </c>
      <c r="D37" s="25" t="str">
        <f>Burn_Up_Down!B20</f>
        <v>2026-08-25</v>
      </c>
      <c r="E37" s="27">
        <f>Burn_Up_Down!C20</f>
        <v>3</v>
      </c>
      <c r="F37" s="27">
        <f>Burn_Up_Down!D20</f>
        <v>2</v>
      </c>
      <c r="G37" s="27">
        <f t="shared" ref="G37:H37" si="65">G36+E37</f>
        <v>118.2504</v>
      </c>
      <c r="H37" s="27">
        <f t="shared" si="65"/>
        <v>96</v>
      </c>
      <c r="I37" s="27">
        <f t="shared" ref="I37:J37" si="66">$M$6-G37</f>
        <v>37.7496</v>
      </c>
      <c r="J37" s="27">
        <f t="shared" si="66"/>
        <v>60</v>
      </c>
    </row>
    <row r="38" ht="15.75" customHeight="1">
      <c r="A38" s="25" t="s">
        <v>161</v>
      </c>
      <c r="B38" s="25">
        <v>17.0</v>
      </c>
      <c r="C38" s="25">
        <v>34.0</v>
      </c>
      <c r="D38" s="25" t="str">
        <f>Burn_Up_Down!B21</f>
        <v>2026-08-26</v>
      </c>
      <c r="E38" s="27">
        <f>Burn_Up_Down!C21</f>
        <v>1.5</v>
      </c>
      <c r="F38" s="27">
        <f>Burn_Up_Down!D21</f>
        <v>1.5</v>
      </c>
      <c r="G38" s="27">
        <f t="shared" ref="G38:H38" si="67">G37+E38</f>
        <v>119.7504</v>
      </c>
      <c r="H38" s="27">
        <f t="shared" si="67"/>
        <v>97.5</v>
      </c>
      <c r="I38" s="27">
        <f t="shared" ref="I38:J38" si="68">$M$6-G38</f>
        <v>36.2496</v>
      </c>
      <c r="J38" s="27">
        <f t="shared" si="68"/>
        <v>58.5</v>
      </c>
    </row>
    <row r="39" ht="15.75" customHeight="1">
      <c r="A39" s="25" t="s">
        <v>161</v>
      </c>
      <c r="B39" s="25">
        <v>18.0</v>
      </c>
      <c r="C39" s="25">
        <v>35.0</v>
      </c>
      <c r="D39" s="25" t="str">
        <f>Burn_Up_Down!B22</f>
        <v>2026-08-27</v>
      </c>
      <c r="E39" s="27">
        <f>Burn_Up_Down!C22</f>
        <v>1.5</v>
      </c>
      <c r="F39" s="27">
        <f>Burn_Up_Down!D22</f>
        <v>1</v>
      </c>
      <c r="G39" s="27">
        <f t="shared" ref="G39:H39" si="69">G38+E39</f>
        <v>121.2504</v>
      </c>
      <c r="H39" s="27">
        <f t="shared" si="69"/>
        <v>98.5</v>
      </c>
      <c r="I39" s="27">
        <f t="shared" ref="I39:J39" si="70">$M$6-G39</f>
        <v>34.7496</v>
      </c>
      <c r="J39" s="27">
        <f t="shared" si="70"/>
        <v>57.5</v>
      </c>
    </row>
    <row r="40" ht="15.75" customHeight="1">
      <c r="A40" s="25" t="s">
        <v>161</v>
      </c>
      <c r="B40" s="25">
        <v>19.0</v>
      </c>
      <c r="C40" s="25">
        <v>36.0</v>
      </c>
      <c r="D40" s="25" t="str">
        <f>Burn_Up_Down!B23</f>
        <v>2026-08-28</v>
      </c>
      <c r="E40" s="27">
        <f>Burn_Up_Down!C23</f>
        <v>4.5</v>
      </c>
      <c r="F40" s="27">
        <f>Burn_Up_Down!D23</f>
        <v>3</v>
      </c>
      <c r="G40" s="27">
        <f t="shared" ref="G40:H40" si="71">G39+E40</f>
        <v>125.7504</v>
      </c>
      <c r="H40" s="27">
        <f t="shared" si="71"/>
        <v>101.5</v>
      </c>
      <c r="I40" s="27">
        <f t="shared" ref="I40:J40" si="72">$M$6-G40</f>
        <v>30.2496</v>
      </c>
      <c r="J40" s="27">
        <f t="shared" si="72"/>
        <v>54.5</v>
      </c>
    </row>
    <row r="41" ht="15.75" customHeight="1">
      <c r="A41" s="25" t="s">
        <v>161</v>
      </c>
      <c r="B41" s="25">
        <v>20.0</v>
      </c>
      <c r="C41" s="25">
        <v>37.0</v>
      </c>
      <c r="D41" s="25" t="str">
        <f>Burn_Up_Down!B24</f>
        <v>2026-08-29</v>
      </c>
      <c r="E41" s="27">
        <f>Burn_Up_Down!C24</f>
        <v>0</v>
      </c>
      <c r="F41" s="27">
        <f>Burn_Up_Down!D24</f>
        <v>0</v>
      </c>
      <c r="G41" s="27">
        <f t="shared" ref="G41:H41" si="73">G40+E41</f>
        <v>125.7504</v>
      </c>
      <c r="H41" s="27">
        <f t="shared" si="73"/>
        <v>101.5</v>
      </c>
      <c r="I41" s="27">
        <f t="shared" ref="I41:J41" si="74">$M$6-G41</f>
        <v>30.2496</v>
      </c>
      <c r="J41" s="27">
        <f t="shared" si="74"/>
        <v>54.5</v>
      </c>
    </row>
    <row r="42" ht="15.75" customHeight="1">
      <c r="A42" s="25" t="s">
        <v>161</v>
      </c>
      <c r="B42" s="25">
        <v>21.0</v>
      </c>
      <c r="C42" s="25">
        <v>38.0</v>
      </c>
      <c r="D42" s="25" t="str">
        <f>Burn_Up_Down!B25</f>
        <v>2026-08-30</v>
      </c>
      <c r="E42" s="27">
        <f>Burn_Up_Down!C25</f>
        <v>0</v>
      </c>
      <c r="F42" s="27">
        <f>Burn_Up_Down!D25</f>
        <v>0</v>
      </c>
      <c r="G42" s="27">
        <f t="shared" ref="G42:H42" si="75">G41+E42</f>
        <v>125.7504</v>
      </c>
      <c r="H42" s="27">
        <f t="shared" si="75"/>
        <v>101.5</v>
      </c>
      <c r="I42" s="27">
        <f t="shared" ref="I42:J42" si="76">$M$6-G42</f>
        <v>30.2496</v>
      </c>
      <c r="J42" s="27">
        <f t="shared" si="76"/>
        <v>54.5</v>
      </c>
    </row>
    <row r="43" ht="15.75" customHeight="1">
      <c r="A43" s="25" t="s">
        <v>161</v>
      </c>
      <c r="B43" s="25">
        <v>22.0</v>
      </c>
      <c r="C43" s="25">
        <v>39.0</v>
      </c>
      <c r="D43" s="25" t="str">
        <f>Burn_Up_Down!B26</f>
        <v>2026-08-31</v>
      </c>
      <c r="E43" s="27">
        <f>Burn_Up_Down!C26</f>
        <v>2.25</v>
      </c>
      <c r="F43" s="27">
        <f>Burn_Up_Down!D26</f>
        <v>1.5</v>
      </c>
      <c r="G43" s="27">
        <f t="shared" ref="G43:H43" si="77">G42+E43</f>
        <v>128.0004</v>
      </c>
      <c r="H43" s="27">
        <f t="shared" si="77"/>
        <v>103</v>
      </c>
      <c r="I43" s="27">
        <f t="shared" ref="I43:J43" si="78">$M$6-G43</f>
        <v>27.9996</v>
      </c>
      <c r="J43" s="27">
        <f t="shared" si="78"/>
        <v>53</v>
      </c>
    </row>
    <row r="44" ht="15.75" customHeight="1">
      <c r="A44" s="25" t="s">
        <v>161</v>
      </c>
      <c r="B44" s="25">
        <v>23.0</v>
      </c>
      <c r="C44" s="25">
        <v>40.0</v>
      </c>
      <c r="D44" s="25" t="str">
        <f>Burn_Up_Down!B27</f>
        <v>2026-09-01</v>
      </c>
      <c r="E44" s="27">
        <f>Burn_Up_Down!C27</f>
        <v>3</v>
      </c>
      <c r="F44" s="27">
        <f>Burn_Up_Down!D27</f>
        <v>2.5</v>
      </c>
      <c r="G44" s="27">
        <f t="shared" ref="G44:H44" si="79">G43+E44</f>
        <v>131.0004</v>
      </c>
      <c r="H44" s="27">
        <f t="shared" si="79"/>
        <v>105.5</v>
      </c>
      <c r="I44" s="27">
        <f t="shared" ref="I44:J44" si="80">$M$6-G44</f>
        <v>24.9996</v>
      </c>
      <c r="J44" s="27">
        <f t="shared" si="80"/>
        <v>50.5</v>
      </c>
    </row>
    <row r="45" ht="15.75" customHeight="1">
      <c r="A45" s="25" t="s">
        <v>161</v>
      </c>
      <c r="B45" s="25">
        <v>24.0</v>
      </c>
      <c r="C45" s="25">
        <v>41.0</v>
      </c>
      <c r="D45" s="25" t="str">
        <f>Burn_Up_Down!B28</f>
        <v>2026-09-02</v>
      </c>
      <c r="E45" s="27">
        <f>Burn_Up_Down!C28</f>
        <v>3</v>
      </c>
      <c r="F45" s="27">
        <f>Burn_Up_Down!D28</f>
        <v>2</v>
      </c>
      <c r="G45" s="27">
        <f t="shared" ref="G45:H45" si="81">G44+E45</f>
        <v>134.0004</v>
      </c>
      <c r="H45" s="27">
        <f t="shared" si="81"/>
        <v>107.5</v>
      </c>
      <c r="I45" s="27">
        <f t="shared" ref="I45:J45" si="82">$M$6-G45</f>
        <v>21.9996</v>
      </c>
      <c r="J45" s="27">
        <f t="shared" si="82"/>
        <v>48.5</v>
      </c>
    </row>
    <row r="46" ht="15.75" customHeight="1">
      <c r="A46" s="25" t="s">
        <v>161</v>
      </c>
      <c r="B46" s="25">
        <v>25.0</v>
      </c>
      <c r="C46" s="25">
        <v>42.0</v>
      </c>
      <c r="D46" s="25" t="str">
        <f>Burn_Up_Down!B29</f>
        <v>2026-09-03</v>
      </c>
      <c r="E46" s="27">
        <f>Burn_Up_Down!C29</f>
        <v>3</v>
      </c>
      <c r="F46" s="27">
        <f>Burn_Up_Down!D29</f>
        <v>2</v>
      </c>
      <c r="G46" s="27">
        <f t="shared" ref="G46:H46" si="83">G45+E46</f>
        <v>137.0004</v>
      </c>
      <c r="H46" s="27">
        <f t="shared" si="83"/>
        <v>109.5</v>
      </c>
      <c r="I46" s="27">
        <f t="shared" ref="I46:J46" si="84">$M$6-G46</f>
        <v>18.9996</v>
      </c>
      <c r="J46" s="27">
        <f t="shared" si="84"/>
        <v>46.5</v>
      </c>
    </row>
    <row r="47" ht="15.75" customHeight="1">
      <c r="A47" s="25" t="s">
        <v>161</v>
      </c>
      <c r="B47" s="25">
        <v>26.0</v>
      </c>
      <c r="C47" s="25">
        <v>43.0</v>
      </c>
      <c r="D47" s="25" t="str">
        <f>Burn_Up_Down!B30</f>
        <v>2026-09-04</v>
      </c>
      <c r="E47" s="27">
        <f>Burn_Up_Down!C30</f>
        <v>6</v>
      </c>
      <c r="F47" s="27">
        <f>Burn_Up_Down!D30</f>
        <v>4.5</v>
      </c>
      <c r="G47" s="27">
        <f t="shared" ref="G47:H47" si="85">G46+E47</f>
        <v>143.0004</v>
      </c>
      <c r="H47" s="27">
        <f t="shared" si="85"/>
        <v>114</v>
      </c>
      <c r="I47" s="27">
        <f t="shared" ref="I47:J47" si="86">$M$6-G47</f>
        <v>12.9996</v>
      </c>
      <c r="J47" s="27">
        <f t="shared" si="86"/>
        <v>42</v>
      </c>
    </row>
    <row r="48" ht="15.75" customHeight="1">
      <c r="A48" s="25" t="s">
        <v>161</v>
      </c>
      <c r="B48" s="25">
        <v>27.0</v>
      </c>
      <c r="C48" s="25">
        <v>44.0</v>
      </c>
      <c r="D48" s="25" t="str">
        <f>Burn_Up_Down!B31</f>
        <v>2026-09-05</v>
      </c>
      <c r="E48" s="27">
        <f>Burn_Up_Down!C31</f>
        <v>0</v>
      </c>
      <c r="F48" s="27">
        <f>Burn_Up_Down!D31</f>
        <v>0</v>
      </c>
      <c r="G48" s="27">
        <f t="shared" ref="G48:H48" si="87">G47+E48</f>
        <v>143.0004</v>
      </c>
      <c r="H48" s="27">
        <f t="shared" si="87"/>
        <v>114</v>
      </c>
      <c r="I48" s="27">
        <f t="shared" ref="I48:J48" si="88">$M$6-G48</f>
        <v>12.9996</v>
      </c>
      <c r="J48" s="27">
        <f t="shared" si="88"/>
        <v>42</v>
      </c>
    </row>
    <row r="49" ht="15.75" customHeight="1">
      <c r="A49" s="25" t="s">
        <v>161</v>
      </c>
      <c r="B49" s="25">
        <v>28.0</v>
      </c>
      <c r="C49" s="25">
        <v>45.0</v>
      </c>
      <c r="D49" s="25" t="str">
        <f>Burn_Up_Down!B32</f>
        <v>2026-09-06</v>
      </c>
      <c r="E49" s="27">
        <f>Burn_Up_Down!C32</f>
        <v>0</v>
      </c>
      <c r="F49" s="27">
        <f>Burn_Up_Down!D32</f>
        <v>0</v>
      </c>
      <c r="G49" s="27">
        <f t="shared" ref="G49:H49" si="89">G48+E49</f>
        <v>143.0004</v>
      </c>
      <c r="H49" s="27">
        <f t="shared" si="89"/>
        <v>114</v>
      </c>
      <c r="I49" s="27">
        <f t="shared" ref="I49:J49" si="90">$M$6-G49</f>
        <v>12.9996</v>
      </c>
      <c r="J49" s="27">
        <f t="shared" si="90"/>
        <v>42</v>
      </c>
    </row>
    <row r="50" ht="15.75" customHeight="1">
      <c r="A50" s="25" t="s">
        <v>161</v>
      </c>
      <c r="B50" s="25">
        <v>29.0</v>
      </c>
      <c r="C50" s="25">
        <v>46.0</v>
      </c>
      <c r="D50" s="25" t="str">
        <f>Burn_Up_Down!B33</f>
        <v>2026-09-07</v>
      </c>
      <c r="E50" s="27">
        <f>Burn_Up_Down!C33</f>
        <v>7</v>
      </c>
      <c r="F50" s="27">
        <f>Burn_Up_Down!D33</f>
        <v>5</v>
      </c>
      <c r="G50" s="27">
        <f t="shared" ref="G50:H50" si="91">G49+E50</f>
        <v>150.0004</v>
      </c>
      <c r="H50" s="27">
        <f t="shared" si="91"/>
        <v>119</v>
      </c>
      <c r="I50" s="27">
        <f t="shared" ref="I50:J50" si="92">$M$6-G50</f>
        <v>5.9996</v>
      </c>
      <c r="J50" s="27">
        <f t="shared" si="92"/>
        <v>37</v>
      </c>
    </row>
    <row r="51" ht="15.75" customHeight="1">
      <c r="A51" s="25" t="s">
        <v>161</v>
      </c>
      <c r="B51" s="25">
        <v>30.0</v>
      </c>
      <c r="C51" s="25">
        <v>47.0</v>
      </c>
      <c r="D51" s="25" t="str">
        <f>Burn_Up_Down!B34</f>
        <v>2026-09-08</v>
      </c>
      <c r="E51" s="27">
        <f>Burn_Up_Down!C34</f>
        <v>3</v>
      </c>
      <c r="F51" s="27">
        <f>Burn_Up_Down!D34</f>
        <v>2</v>
      </c>
      <c r="G51" s="27">
        <f t="shared" ref="G51:H51" si="93">G50+E51</f>
        <v>153.0004</v>
      </c>
      <c r="H51" s="27">
        <f t="shared" si="93"/>
        <v>121</v>
      </c>
      <c r="I51" s="27">
        <f t="shared" ref="I51:J51" si="94">$M$6-G51</f>
        <v>2.9996</v>
      </c>
      <c r="J51" s="27">
        <f t="shared" si="94"/>
        <v>35</v>
      </c>
    </row>
    <row r="52" ht="15.75" customHeight="1">
      <c r="A52" s="25" t="s">
        <v>161</v>
      </c>
      <c r="B52" s="25">
        <v>31.0</v>
      </c>
      <c r="C52" s="25">
        <v>48.0</v>
      </c>
      <c r="D52" s="25" t="str">
        <f>Burn_Up_Down!B35</f>
        <v>2026-09-09</v>
      </c>
      <c r="E52" s="27">
        <f>Burn_Up_Down!C35</f>
        <v>1.5</v>
      </c>
      <c r="F52" s="27">
        <f>Burn_Up_Down!D35</f>
        <v>1</v>
      </c>
      <c r="G52" s="27">
        <f t="shared" ref="G52:H52" si="95">G51+E52</f>
        <v>154.5004</v>
      </c>
      <c r="H52" s="27">
        <f t="shared" si="95"/>
        <v>122</v>
      </c>
      <c r="I52" s="27">
        <f t="shared" ref="I52:J52" si="96">$M$6-G52</f>
        <v>1.4996</v>
      </c>
      <c r="J52" s="27">
        <f t="shared" si="96"/>
        <v>34</v>
      </c>
    </row>
    <row r="53" ht="15.75" customHeight="1">
      <c r="A53" s="25" t="s">
        <v>161</v>
      </c>
      <c r="B53" s="25">
        <v>32.0</v>
      </c>
      <c r="C53" s="25">
        <v>49.0</v>
      </c>
      <c r="D53" s="25" t="str">
        <f>Burn_Up_Down!B36</f>
        <v>2026-09-10</v>
      </c>
      <c r="E53" s="27">
        <f>Burn_Up_Down!C36</f>
        <v>1.5</v>
      </c>
      <c r="F53" s="27">
        <f>Burn_Up_Down!D36</f>
        <v>1</v>
      </c>
      <c r="G53" s="27">
        <f t="shared" ref="G53:H53" si="97">G52+E53</f>
        <v>156.0004</v>
      </c>
      <c r="H53" s="27">
        <f t="shared" si="97"/>
        <v>123</v>
      </c>
      <c r="I53" s="27">
        <f t="shared" ref="I53:J53" si="98">$M$6-G53</f>
        <v>-0.0004</v>
      </c>
      <c r="J53" s="27">
        <f t="shared" si="98"/>
        <v>33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J1"/>
    <mergeCell ref="A2:J2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2026-05-23T23:27:30Z</dcterms:created>
  <dc:creator>Pauu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