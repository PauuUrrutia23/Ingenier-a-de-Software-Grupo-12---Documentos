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guimiento_Sprint" sheetId="1" r:id="rId4"/>
    <sheet state="visible" name="Burn_Up_Down" sheetId="2" r:id="rId5"/>
  </sheets>
  <definedNames/>
  <calcPr/>
  <extLst>
    <ext uri="GoogleSheetsCustomDataVersion2">
      <go:sheetsCustomData xmlns:go="http://customooxmlschemas.google.com/" r:id="rId6" roundtripDataChecksum="h6+Hcls0pkIq/djB/wLZHfVBVNaLI9fFHEw/bL+HOvc="/>
    </ext>
  </extLst>
</workbook>
</file>

<file path=xl/sharedStrings.xml><?xml version="1.0" encoding="utf-8"?>
<sst xmlns="http://schemas.openxmlformats.org/spreadsheetml/2006/main" count="164" uniqueCount="104">
  <si>
    <t xml:space="preserve">Seguimiento Sprint Incremento 1 </t>
  </si>
  <si>
    <t>PILA DEL PRODUCTO</t>
  </si>
  <si>
    <t>SEGUIMIENTO</t>
  </si>
  <si>
    <t>PROYECTO</t>
  </si>
  <si>
    <t>Verficación</t>
  </si>
  <si>
    <t>Prioridad</t>
  </si>
  <si>
    <t>Categoría</t>
  </si>
  <si>
    <t>Tarea</t>
  </si>
  <si>
    <t>Responsable</t>
  </si>
  <si>
    <t>Estimar HH</t>
  </si>
  <si>
    <t>Registro Diario en Horas</t>
  </si>
  <si>
    <t>Inicio</t>
  </si>
  <si>
    <t>Fin</t>
  </si>
  <si>
    <t>HH Efectivas</t>
  </si>
  <si>
    <t>Revisión</t>
  </si>
  <si>
    <t>Estado</t>
  </si>
  <si>
    <t>Detalles</t>
  </si>
  <si>
    <t>Base de Datos</t>
  </si>
  <si>
    <t xml:space="preserve">MERE </t>
  </si>
  <si>
    <t xml:space="preserve">Paulina </t>
  </si>
  <si>
    <t>10-05-2026  2 H                           13-05-2026  2 H                         19-05-2026  1 H</t>
  </si>
  <si>
    <t>Paulina</t>
  </si>
  <si>
    <t>OK</t>
  </si>
  <si>
    <t>Entregable: modelo entidad-relacion extendido y fundamentacion normalizada. Criterio de aceptacion: entidades, relaciones, cardinalidades y reglas de negocio coherentes con los requisitos; evidencia: diagrama revisado y observaciones resueltas.</t>
  </si>
  <si>
    <t>Modelo Físico</t>
  </si>
  <si>
    <t>19-05-2026  1 H</t>
  </si>
  <si>
    <t>Entregable: transformacion fisica de la base de datos. Criterio de aceptacion: tablas, claves primarias/foraneas, tipos de datos y restricciones alineadas al modelo relacional; evidencia: esquema documentado para implementacion.</t>
  </si>
  <si>
    <t>Modelo Relacional</t>
  </si>
  <si>
    <t>09-05-2026  1 H                         20-05-2026  1 H</t>
  </si>
  <si>
    <t>Entregable: modelo relacional validado. Criterio de aceptacion: relaciones normalizadas, dependencias correctamente representadas y consistencia con MERE/FN; evidencia: tabla relacional revisada.</t>
  </si>
  <si>
    <t>Código PostgreSQL</t>
  </si>
  <si>
    <t>21-05-2026  1 H</t>
  </si>
  <si>
    <t>Entregable: script SQL de creacion y restricciones. Criterio de aceptacion: ejecucion sin errores, claves e integridad referencial configuradas; evidencia: script probado y pendiente de cierre funcional si aplica.</t>
  </si>
  <si>
    <t>Vistas 4 + 1</t>
  </si>
  <si>
    <t>D de Despliegue</t>
  </si>
  <si>
    <t xml:space="preserve">Tomás  </t>
  </si>
  <si>
    <t>15-05-2026  1 H                         17-05-2026  1 H</t>
  </si>
  <si>
    <t>Entregable: diagrama de despliegue. Criterio de aceptacion: nodos, artefactos, conexiones y ambiente de ejecucion identificados; evidencia: vista arquitectonica incorporada al informe.</t>
  </si>
  <si>
    <t>D de Secuencia</t>
  </si>
  <si>
    <t>Tomás</t>
  </si>
  <si>
    <t>10-05-2026  3 H                       15-05-2026  3 H                      22-05-2026  1 H</t>
  </si>
  <si>
    <t>Entregable: diagrama de secuencia. Criterio de aceptacion: actores, objetos, mensajes y flujo temporal consistentes con el caso de uso; evidencia: diagrama revisado e integrado.</t>
  </si>
  <si>
    <t>Bizagi</t>
  </si>
  <si>
    <t>Corrección diagramas</t>
  </si>
  <si>
    <t>Vicente</t>
  </si>
  <si>
    <t xml:space="preserve">17-05-2026  2 H                         20-05-2026 1 H                    </t>
  </si>
  <si>
    <t>Entregable: diagramas Bizagi corregidos. Criterio de aceptacion: flujo BPMN legible, compuertas/eventos bien utilizados y consistencia con el proceso documentado; evidencia: version corregida anexada.</t>
  </si>
  <si>
    <t xml:space="preserve">Informe </t>
  </si>
  <si>
    <t xml:space="preserve">Corrección formato </t>
  </si>
  <si>
    <t xml:space="preserve">12-05-2026 2 H            </t>
  </si>
  <si>
    <t>Entregable: informe con formato corregido. Criterio de aceptacion: portada, indices, estilos, numeracion, referencias y anexos homogeneos; evidencia: revision final sin inconsistencias visibles.</t>
  </si>
  <si>
    <t>D de Componentes</t>
  </si>
  <si>
    <t xml:space="preserve">Benjamín  </t>
  </si>
  <si>
    <t>17-05-2026  2 H</t>
  </si>
  <si>
    <t>Entregable: diagrama de componentes. Criterio de aceptacion: modulos, dependencias e interfaces del sistema representados de forma coherente; evidencia: vista 4+1 incorporada.</t>
  </si>
  <si>
    <t>Arquitectura</t>
  </si>
  <si>
    <t>Corrección de la Dimensión Técnica</t>
  </si>
  <si>
    <t>Entregable: descripcion de dimension tecnica. Criterio de aceptacion: tecnologias, arquitectura, base de datos y decisiones tecnicas justificadas; evidencia: seccion integrada al informe.</t>
  </si>
  <si>
    <t>Planificación</t>
  </si>
  <si>
    <t>Scrum Diario</t>
  </si>
  <si>
    <t xml:space="preserve">Paulina  </t>
  </si>
  <si>
    <t>09-05-2026  0.5 H                   16-05-2026  0.5 H                  23-05-2026  0.5 H</t>
  </si>
  <si>
    <t>Entregable: registros de seguimiento diario. Criterio de aceptacion: avances, responsables, horas y acuerdos documentados; evidencia: bitacora actualizada para control del sprint.</t>
  </si>
  <si>
    <t>Carta Gantt</t>
  </si>
  <si>
    <t>Entregable: cronograma del sprint. Criterio de aceptacion: tareas, responsables, fechas, estados y avance visibles; evidencia: carta Gantt separada y coherente con el seguimiento.</t>
  </si>
  <si>
    <t>Desarrollo Web</t>
  </si>
  <si>
    <t xml:space="preserve">Programación </t>
  </si>
  <si>
    <t>23-05-2026  2H                        24-05-2026 2 H                          25-05-2026 3 H</t>
  </si>
  <si>
    <t>Entregable: Código en github con la página web implementada incluido el video de demostración.</t>
  </si>
  <si>
    <t xml:space="preserve">23-05-2026  2H                          24-05-2026 3 H                               25-05-2026  3 H                           </t>
  </si>
  <si>
    <t xml:space="preserve">Desarrollo Informe I1 </t>
  </si>
  <si>
    <t xml:space="preserve">Diego C  </t>
  </si>
  <si>
    <t>Entregable: secciones asignadas del Informe Incremento 1. Criterio de aceptacion: redaccion clara, evidencias insertadas, formato institucional aplicado y trazabilidad con tareas del sprint.</t>
  </si>
  <si>
    <t xml:space="preserve"> Vicente </t>
  </si>
  <si>
    <t>23-05-2026  2H                     25-05-2026 2H</t>
  </si>
  <si>
    <t>Diego S</t>
  </si>
  <si>
    <t>Seguimiento Burn-Up / Burn-Down — Incremento 1</t>
  </si>
  <si>
    <t>Fuente: hoja "Seguimiento_Sprint" . HH Estimada diaria = Estimar HH de cada tarea repartido en partes iguales entre sus días de registro. HH Efectiva diaria = horas registradas ese día (suma del Registro Diario), ya que 3 tareas no tenían la columna "HH Efectivas" completada.</t>
  </si>
  <si>
    <t>Día</t>
  </si>
  <si>
    <t>Fecha</t>
  </si>
  <si>
    <t>HH Estimada (día)</t>
  </si>
  <si>
    <t>HH Efectiva (día)</t>
  </si>
  <si>
    <t>HH Estimada (acum.)</t>
  </si>
  <si>
    <t>HH Efectiva (acum.)</t>
  </si>
  <si>
    <t>Remanente Estimada</t>
  </si>
  <si>
    <t>Remanente Efectiva</t>
  </si>
  <si>
    <t>Total Estimar HH (alcance):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</si>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</sst>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0.0"/>
  </numFmts>
  <fonts count="12">
    <font>
      <sz val="11.0"/>
      <color theme="1"/>
      <name val="Calibri"/>
      <scheme val="minor"/>
    </font>
    <font>
      <b/>
      <sz val="18.0"/>
      <color theme="1"/>
      <name val="Calibri"/>
    </font>
    <font/>
    <font>
      <b/>
      <sz val="11.0"/>
      <color theme="1"/>
      <name val="Calibri"/>
    </font>
    <font>
      <b/>
      <sz val="11.0"/>
      <color rgb="FF000000"/>
      <name val="Calibri"/>
    </font>
    <font>
      <sz val="11.0"/>
      <color theme="1"/>
      <name val="Calibri"/>
    </font>
    <font>
      <sz val="10.0"/>
      <color theme="1"/>
      <name val="Calibri"/>
    </font>
    <font>
      <b/>
      <sz val="14.0"/>
      <color rgb="FF1F4E78"/>
      <name val="Arial"/>
    </font>
    <font>
      <i/>
      <sz val="9.0"/>
      <color rgb="FF595959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0.0"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D966"/>
        <bgColor rgb="FFFFD966"/>
      </patternFill>
    </fill>
    <fill>
      <patternFill patternType="solid">
        <fgColor rgb="FFA9D08E"/>
        <bgColor rgb="FFA9D08E"/>
      </patternFill>
    </fill>
    <fill>
      <patternFill patternType="solid">
        <fgColor rgb="FF9BC2E6"/>
        <bgColor rgb="FF9BC2E6"/>
      </patternFill>
    </fill>
    <fill>
      <patternFill patternType="solid">
        <fgColor rgb="FFCCC0D9"/>
        <bgColor rgb="FFCCC0D9"/>
      </patternFill>
    </fill>
    <fill>
      <patternFill patternType="solid">
        <fgColor rgb="FFDAEEF3"/>
        <bgColor rgb="FFDAEEF3"/>
      </patternFill>
    </fill>
    <fill>
      <patternFill patternType="solid">
        <fgColor rgb="FFD6E3BC"/>
        <bgColor rgb="FFD6E3BC"/>
      </patternFill>
    </fill>
    <fill>
      <patternFill patternType="solid">
        <fgColor rgb="FF1F4E78"/>
        <bgColor rgb="FF1F4E78"/>
      </patternFill>
    </fill>
  </fills>
  <borders count="1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ill="1" applyFont="1">
      <alignment horizontal="left" shrinkToFit="0" vertical="center" wrapText="1"/>
    </xf>
    <xf borderId="5" fillId="3" fontId="4" numFmtId="0" xfId="0" applyAlignment="1" applyBorder="1" applyFill="1" applyFont="1">
      <alignment horizontal="center" shrinkToFit="0" vertical="center" wrapText="1"/>
    </xf>
    <xf borderId="6" fillId="0" fontId="2" numFmtId="0" xfId="0" applyBorder="1" applyFont="1"/>
    <xf borderId="7" fillId="0" fontId="2" numFmtId="0" xfId="0" applyBorder="1" applyFont="1"/>
    <xf borderId="8" fillId="4" fontId="4" numFmtId="0" xfId="0" applyAlignment="1" applyBorder="1" applyFill="1" applyFont="1">
      <alignment horizontal="center" shrinkToFit="0" vertical="center" wrapText="1"/>
    </xf>
    <xf borderId="5" fillId="5" fontId="4" numFmtId="0" xfId="0" applyAlignment="1" applyBorder="1" applyFill="1" applyFont="1">
      <alignment horizontal="center" shrinkToFit="0" vertical="center" wrapText="1"/>
    </xf>
    <xf borderId="5" fillId="6" fontId="4" numFmtId="0" xfId="0" applyAlignment="1" applyBorder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shrinkToFit="0" vertical="center" wrapText="1"/>
    </xf>
    <xf borderId="8" fillId="0" fontId="5" numFmtId="0" xfId="0" applyAlignment="1" applyBorder="1" applyFont="1">
      <alignment horizontal="center" shrinkToFit="0" vertical="top" wrapText="1"/>
    </xf>
    <xf borderId="8" fillId="0" fontId="5" numFmtId="0" xfId="0" applyAlignment="1" applyBorder="1" applyFont="1">
      <alignment horizontal="left" shrinkToFit="0" vertical="top" wrapText="1"/>
    </xf>
    <xf borderId="8" fillId="0" fontId="5" numFmtId="164" xfId="0" applyAlignment="1" applyBorder="1" applyFont="1" applyNumberFormat="1">
      <alignment horizontal="center" shrinkToFit="0" vertical="top" wrapText="1"/>
    </xf>
    <xf borderId="8" fillId="8" fontId="5" numFmtId="0" xfId="0" applyAlignment="1" applyBorder="1" applyFill="1" applyFont="1">
      <alignment horizontal="center" shrinkToFit="0" vertical="top" wrapText="1"/>
    </xf>
    <xf borderId="0" fillId="0" fontId="5" numFmtId="0" xfId="0" applyAlignment="1" applyFont="1">
      <alignment shrinkToFit="0" vertical="top" wrapText="1"/>
    </xf>
    <xf borderId="0" fillId="0" fontId="6" numFmtId="0" xfId="0" applyAlignment="1" applyFont="1">
      <alignment shrinkToFit="0" vertical="top" wrapText="1"/>
    </xf>
    <xf borderId="8" fillId="0" fontId="5" numFmtId="164" xfId="0" applyAlignment="1" applyBorder="1" applyFont="1" applyNumberFormat="1">
      <alignment horizontal="left" shrinkToFit="0" vertical="top" wrapText="1"/>
    </xf>
    <xf borderId="0" fillId="0" fontId="7" numFmtId="0" xfId="0" applyFont="1"/>
    <xf borderId="0" fillId="0" fontId="8" numFmtId="0" xfId="0" applyFont="1"/>
    <xf borderId="9" fillId="9" fontId="9" numFmtId="0" xfId="0" applyAlignment="1" applyBorder="1" applyFill="1" applyFont="1">
      <alignment horizontal="center" shrinkToFit="0" vertical="center" wrapText="1"/>
    </xf>
    <xf borderId="8" fillId="0" fontId="10" numFmtId="0" xfId="0" applyBorder="1" applyFont="1"/>
    <xf borderId="8" fillId="0" fontId="10" numFmtId="165" xfId="0" applyBorder="1" applyFont="1" applyNumberFormat="1"/>
    <xf borderId="9" fillId="0" fontId="11" numFmtId="0" xfId="0" applyAlignment="1" applyBorder="1" applyFont="1">
      <alignment horizontal="center"/>
    </xf>
    <xf borderId="9" fillId="0" fontId="11" numFmtId="165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Gráfica Burn-Up — Incremento 1</a:t>
            </a:r>
          </a:p>
        </c:rich>
      </c:tx>
      <c:overlay val="0"/>
    </c:title>
    <c:plotArea>
      <c:layout/>
      <c:lineChart>
        <c:ser>
          <c:idx val="0"/>
          <c:order val="0"/>
          <c:tx>
            <c:v>HH Estimada</c:v>
          </c:tx>
          <c:spPr>
            <a:ln cmpd="sng" w="19050">
              <a:solidFill>
                <a:srgbClr val="1F77B4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Burn_Up_Down!$A$5:$A$21</c:f>
            </c:strRef>
          </c:cat>
          <c:val>
            <c:numRef>
              <c:f>Burn_Up_Down!$E$5:$E$21</c:f>
              <c:numCache/>
            </c:numRef>
          </c:val>
          <c:smooth val="0"/>
        </c:ser>
        <c:ser>
          <c:idx val="1"/>
          <c:order val="1"/>
          <c:tx>
            <c:v>HH Efectiva</c:v>
          </c:tx>
          <c:spPr>
            <a:ln cmpd="sng" w="19050">
              <a:solidFill>
                <a:srgbClr val="D6272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Burn_Up_Down!$A$5:$A$21</c:f>
            </c:strRef>
          </c:cat>
          <c:val>
            <c:numRef>
              <c:f>Burn_Up_Down!$F$5:$F$21</c:f>
              <c:numCache/>
            </c:numRef>
          </c:val>
          <c:smooth val="0"/>
        </c:ser>
        <c:axId val="162994251"/>
        <c:axId val="736447941"/>
      </c:lineChart>
      <c:catAx>
        <c:axId val="1629942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Día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736447941"/>
      </c:catAx>
      <c:valAx>
        <c:axId val="7364479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Horas (HH)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62994251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Gráfica Burn-Down — Incremento 1</a:t>
            </a:r>
          </a:p>
        </c:rich>
      </c:tx>
      <c:overlay val="0"/>
    </c:title>
    <c:plotArea>
      <c:layout/>
      <c:lineChart>
        <c:ser>
          <c:idx val="0"/>
          <c:order val="0"/>
          <c:tx>
            <c:v>HH Estimada</c:v>
          </c:tx>
          <c:spPr>
            <a:ln cmpd="sng" w="19050">
              <a:solidFill>
                <a:srgbClr val="1F77B4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Burn_Up_Down!$A$5:$A$21</c:f>
            </c:strRef>
          </c:cat>
          <c:val>
            <c:numRef>
              <c:f>Burn_Up_Down!$G$5:$G$21</c:f>
              <c:numCache/>
            </c:numRef>
          </c:val>
          <c:smooth val="0"/>
        </c:ser>
        <c:ser>
          <c:idx val="1"/>
          <c:order val="1"/>
          <c:tx>
            <c:v>HH Efectiva</c:v>
          </c:tx>
          <c:spPr>
            <a:ln cmpd="sng" w="19050">
              <a:solidFill>
                <a:srgbClr val="D6272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Burn_Up_Down!$A$5:$A$21</c:f>
            </c:strRef>
          </c:cat>
          <c:val>
            <c:numRef>
              <c:f>Burn_Up_Down!$H$5:$H$21</c:f>
              <c:numCache/>
            </c:numRef>
          </c:val>
          <c:smooth val="0"/>
        </c:ser>
        <c:axId val="1554296570"/>
        <c:axId val="1943143292"/>
      </c:lineChart>
      <c:catAx>
        <c:axId val="15542965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Día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943143292"/>
      </c:catAx>
      <c:valAx>
        <c:axId val="19431432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Horas (HH)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554296570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19050</xdr:colOff>
      <xdr:row>22</xdr:row>
      <xdr:rowOff>76200</xdr:rowOff>
    </xdr:from>
    <xdr:ext cx="6819900" cy="3400425"/>
    <xdr:graphicFrame>
      <xdr:nvGraphicFramePr>
        <xdr:cNvPr id="856039437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95250</xdr:colOff>
      <xdr:row>22</xdr:row>
      <xdr:rowOff>161925</xdr:rowOff>
    </xdr:from>
    <xdr:ext cx="6848475" cy="3400425"/>
    <xdr:graphicFrame>
      <xdr:nvGraphicFramePr>
        <xdr:cNvPr id="1604665900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6.29"/>
    <col customWidth="1" min="3" max="3" width="21.29"/>
    <col customWidth="1" min="4" max="4" width="15.71"/>
    <col customWidth="1" min="5" max="5" width="11.86"/>
    <col customWidth="1" min="6" max="6" width="23.57"/>
    <col customWidth="1" min="7" max="8" width="11.29"/>
    <col customWidth="1" min="9" max="9" width="18.86"/>
    <col customWidth="1" min="10" max="10" width="13.14"/>
    <col customWidth="1" min="11" max="11" width="11.86"/>
    <col customWidth="1" min="12" max="12" width="58.43"/>
    <col customWidth="1" min="13" max="26" width="9.14"/>
  </cols>
  <sheetData>
    <row r="1" ht="50.2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</row>
    <row r="2" ht="15.0" customHeight="1">
      <c r="A2" s="5" t="s">
        <v>1</v>
      </c>
      <c r="B2" s="6"/>
      <c r="C2" s="6"/>
      <c r="D2" s="6"/>
      <c r="E2" s="7"/>
      <c r="F2" s="8" t="s">
        <v>2</v>
      </c>
      <c r="G2" s="9" t="s">
        <v>3</v>
      </c>
      <c r="H2" s="6"/>
      <c r="I2" s="7"/>
      <c r="J2" s="10" t="s">
        <v>4</v>
      </c>
      <c r="K2" s="6"/>
      <c r="L2" s="7"/>
    </row>
    <row r="3">
      <c r="A3" s="11" t="s">
        <v>5</v>
      </c>
      <c r="B3" s="11" t="s">
        <v>6</v>
      </c>
      <c r="C3" s="11" t="s">
        <v>7</v>
      </c>
      <c r="D3" s="11" t="s">
        <v>8</v>
      </c>
      <c r="E3" s="11" t="s">
        <v>9</v>
      </c>
      <c r="F3" s="11" t="s">
        <v>10</v>
      </c>
      <c r="G3" s="11" t="s">
        <v>11</v>
      </c>
      <c r="H3" s="11" t="s">
        <v>12</v>
      </c>
      <c r="I3" s="11" t="s">
        <v>13</v>
      </c>
      <c r="J3" s="11" t="s">
        <v>14</v>
      </c>
      <c r="K3" s="11" t="s">
        <v>15</v>
      </c>
      <c r="L3" s="11" t="s">
        <v>16</v>
      </c>
    </row>
    <row r="4" ht="48.75" customHeight="1">
      <c r="A4" s="12">
        <v>1.0</v>
      </c>
      <c r="B4" s="12" t="s">
        <v>17</v>
      </c>
      <c r="C4" s="12" t="s">
        <v>18</v>
      </c>
      <c r="D4" s="12" t="s">
        <v>19</v>
      </c>
      <c r="E4" s="12">
        <v>6.0</v>
      </c>
      <c r="F4" s="13" t="s">
        <v>20</v>
      </c>
      <c r="G4" s="14">
        <v>44782.0</v>
      </c>
      <c r="H4" s="14">
        <v>46168.0</v>
      </c>
      <c r="I4" s="12">
        <v>5.0</v>
      </c>
      <c r="J4" s="14" t="s">
        <v>21</v>
      </c>
      <c r="K4" s="15" t="s">
        <v>22</v>
      </c>
      <c r="L4" s="16" t="s">
        <v>23</v>
      </c>
    </row>
    <row r="5" ht="49.5" customHeight="1">
      <c r="A5" s="12">
        <v>1.0</v>
      </c>
      <c r="B5" s="12" t="s">
        <v>17</v>
      </c>
      <c r="C5" s="12" t="s">
        <v>24</v>
      </c>
      <c r="D5" s="12" t="s">
        <v>19</v>
      </c>
      <c r="E5" s="12">
        <v>2.0</v>
      </c>
      <c r="F5" s="13" t="s">
        <v>25</v>
      </c>
      <c r="G5" s="14">
        <v>44782.0</v>
      </c>
      <c r="H5" s="14">
        <v>46168.0</v>
      </c>
      <c r="I5" s="12">
        <v>1.0</v>
      </c>
      <c r="J5" s="14" t="s">
        <v>21</v>
      </c>
      <c r="K5" s="15" t="s">
        <v>22</v>
      </c>
      <c r="L5" s="17" t="s">
        <v>26</v>
      </c>
    </row>
    <row r="6" ht="66.0" customHeight="1">
      <c r="A6" s="12">
        <v>1.0</v>
      </c>
      <c r="B6" s="12" t="s">
        <v>17</v>
      </c>
      <c r="C6" s="12" t="s">
        <v>27</v>
      </c>
      <c r="D6" s="12" t="s">
        <v>19</v>
      </c>
      <c r="E6" s="12">
        <v>2.0</v>
      </c>
      <c r="F6" s="13" t="s">
        <v>28</v>
      </c>
      <c r="G6" s="14">
        <v>44782.0</v>
      </c>
      <c r="H6" s="14">
        <v>46168.0</v>
      </c>
      <c r="I6" s="12">
        <v>2.0</v>
      </c>
      <c r="J6" s="14" t="s">
        <v>21</v>
      </c>
      <c r="K6" s="15" t="s">
        <v>22</v>
      </c>
      <c r="L6" s="16" t="s">
        <v>29</v>
      </c>
    </row>
    <row r="7" ht="68.25" customHeight="1">
      <c r="A7" s="12">
        <v>1.0</v>
      </c>
      <c r="B7" s="12" t="s">
        <v>17</v>
      </c>
      <c r="C7" s="12" t="s">
        <v>30</v>
      </c>
      <c r="D7" s="12" t="s">
        <v>19</v>
      </c>
      <c r="E7" s="12">
        <v>2.0</v>
      </c>
      <c r="F7" s="13" t="s">
        <v>31</v>
      </c>
      <c r="G7" s="14">
        <v>46162.0</v>
      </c>
      <c r="H7" s="14">
        <v>46168.0</v>
      </c>
      <c r="I7" s="12">
        <v>1.0</v>
      </c>
      <c r="J7" s="14" t="s">
        <v>21</v>
      </c>
      <c r="K7" s="15" t="s">
        <v>22</v>
      </c>
      <c r="L7" s="16" t="s">
        <v>32</v>
      </c>
    </row>
    <row r="8" ht="62.25" customHeight="1">
      <c r="A8" s="12">
        <v>1.0</v>
      </c>
      <c r="B8" s="12" t="s">
        <v>33</v>
      </c>
      <c r="C8" s="12" t="s">
        <v>34</v>
      </c>
      <c r="D8" s="12" t="s">
        <v>35</v>
      </c>
      <c r="E8" s="12">
        <v>3.0</v>
      </c>
      <c r="F8" s="13" t="s">
        <v>36</v>
      </c>
      <c r="G8" s="14">
        <v>44782.0</v>
      </c>
      <c r="H8" s="14">
        <v>46168.0</v>
      </c>
      <c r="I8" s="12">
        <v>2.0</v>
      </c>
      <c r="J8" s="14" t="s">
        <v>21</v>
      </c>
      <c r="K8" s="15" t="s">
        <v>22</v>
      </c>
      <c r="L8" s="16" t="s">
        <v>37</v>
      </c>
    </row>
    <row r="9" ht="54.0" customHeight="1">
      <c r="A9" s="12">
        <v>1.0</v>
      </c>
      <c r="B9" s="12" t="s">
        <v>33</v>
      </c>
      <c r="C9" s="12" t="s">
        <v>38</v>
      </c>
      <c r="D9" s="12" t="s">
        <v>39</v>
      </c>
      <c r="E9" s="12">
        <v>5.0</v>
      </c>
      <c r="F9" s="13" t="s">
        <v>40</v>
      </c>
      <c r="G9" s="14">
        <v>44782.0</v>
      </c>
      <c r="H9" s="14">
        <v>46168.0</v>
      </c>
      <c r="I9" s="12">
        <v>7.0</v>
      </c>
      <c r="J9" s="14" t="s">
        <v>21</v>
      </c>
      <c r="K9" s="15" t="s">
        <v>22</v>
      </c>
      <c r="L9" s="16" t="s">
        <v>41</v>
      </c>
    </row>
    <row r="10" ht="54.0" customHeight="1">
      <c r="A10" s="12">
        <v>1.0</v>
      </c>
      <c r="B10" s="12" t="s">
        <v>42</v>
      </c>
      <c r="C10" s="12" t="s">
        <v>43</v>
      </c>
      <c r="D10" s="12" t="s">
        <v>44</v>
      </c>
      <c r="E10" s="12">
        <v>3.0</v>
      </c>
      <c r="F10" s="13" t="s">
        <v>45</v>
      </c>
      <c r="G10" s="14">
        <v>44782.0</v>
      </c>
      <c r="H10" s="14">
        <v>46168.0</v>
      </c>
      <c r="I10" s="12">
        <v>3.0</v>
      </c>
      <c r="J10" s="14" t="s">
        <v>21</v>
      </c>
      <c r="K10" s="15" t="s">
        <v>22</v>
      </c>
      <c r="L10" s="16" t="s">
        <v>46</v>
      </c>
    </row>
    <row r="11" ht="54.0" customHeight="1">
      <c r="A11" s="12">
        <v>1.0</v>
      </c>
      <c r="B11" s="12" t="s">
        <v>47</v>
      </c>
      <c r="C11" s="12" t="s">
        <v>48</v>
      </c>
      <c r="D11" s="12" t="s">
        <v>44</v>
      </c>
      <c r="E11" s="12">
        <v>3.0</v>
      </c>
      <c r="F11" s="13" t="s">
        <v>49</v>
      </c>
      <c r="G11" s="14">
        <v>44782.0</v>
      </c>
      <c r="H11" s="14">
        <v>46168.0</v>
      </c>
      <c r="I11" s="12">
        <v>2.0</v>
      </c>
      <c r="J11" s="14" t="s">
        <v>21</v>
      </c>
      <c r="K11" s="15" t="s">
        <v>22</v>
      </c>
      <c r="L11" s="16" t="s">
        <v>50</v>
      </c>
    </row>
    <row r="12" ht="54.0" customHeight="1">
      <c r="A12" s="12">
        <v>1.0</v>
      </c>
      <c r="B12" s="12" t="s">
        <v>33</v>
      </c>
      <c r="C12" s="12" t="s">
        <v>51</v>
      </c>
      <c r="D12" s="12" t="s">
        <v>52</v>
      </c>
      <c r="E12" s="12">
        <v>3.0</v>
      </c>
      <c r="F12" s="13" t="s">
        <v>53</v>
      </c>
      <c r="G12" s="14">
        <v>44782.0</v>
      </c>
      <c r="H12" s="14">
        <v>46168.0</v>
      </c>
      <c r="I12" s="12">
        <v>2.0</v>
      </c>
      <c r="J12" s="14" t="s">
        <v>21</v>
      </c>
      <c r="K12" s="15" t="s">
        <v>22</v>
      </c>
      <c r="L12" s="16" t="s">
        <v>54</v>
      </c>
    </row>
    <row r="13" ht="75.75" customHeight="1">
      <c r="A13" s="12">
        <v>1.0</v>
      </c>
      <c r="B13" s="12" t="s">
        <v>55</v>
      </c>
      <c r="C13" s="12" t="s">
        <v>56</v>
      </c>
      <c r="D13" s="12" t="s">
        <v>52</v>
      </c>
      <c r="E13" s="12">
        <v>3.0</v>
      </c>
      <c r="F13" s="13" t="s">
        <v>31</v>
      </c>
      <c r="G13" s="14">
        <v>44782.0</v>
      </c>
      <c r="H13" s="14">
        <v>46168.0</v>
      </c>
      <c r="I13" s="12">
        <v>1.0</v>
      </c>
      <c r="J13" s="14" t="s">
        <v>21</v>
      </c>
      <c r="K13" s="15" t="s">
        <v>22</v>
      </c>
      <c r="L13" s="16" t="s">
        <v>57</v>
      </c>
    </row>
    <row r="14" ht="76.5" customHeight="1">
      <c r="A14" s="12">
        <v>2.0</v>
      </c>
      <c r="B14" s="12" t="s">
        <v>58</v>
      </c>
      <c r="C14" s="12" t="s">
        <v>59</v>
      </c>
      <c r="D14" s="12" t="s">
        <v>60</v>
      </c>
      <c r="E14" s="12">
        <v>3.0</v>
      </c>
      <c r="F14" s="13" t="s">
        <v>61</v>
      </c>
      <c r="G14" s="14">
        <v>44782.0</v>
      </c>
      <c r="H14" s="14">
        <v>46168.0</v>
      </c>
      <c r="I14" s="12">
        <v>3.0</v>
      </c>
      <c r="J14" s="14" t="s">
        <v>21</v>
      </c>
      <c r="K14" s="15" t="s">
        <v>22</v>
      </c>
      <c r="L14" s="16" t="s">
        <v>62</v>
      </c>
    </row>
    <row r="15" ht="82.5" customHeight="1">
      <c r="A15" s="12">
        <v>2.0</v>
      </c>
      <c r="B15" s="12" t="s">
        <v>58</v>
      </c>
      <c r="C15" s="12" t="s">
        <v>63</v>
      </c>
      <c r="D15" s="12" t="s">
        <v>60</v>
      </c>
      <c r="E15" s="12">
        <v>3.0</v>
      </c>
      <c r="F15" s="13" t="s">
        <v>61</v>
      </c>
      <c r="G15" s="14">
        <v>44782.0</v>
      </c>
      <c r="H15" s="14">
        <v>46168.0</v>
      </c>
      <c r="I15" s="12">
        <v>3.0</v>
      </c>
      <c r="J15" s="14" t="s">
        <v>21</v>
      </c>
      <c r="K15" s="15" t="s">
        <v>22</v>
      </c>
      <c r="L15" s="16" t="s">
        <v>64</v>
      </c>
    </row>
    <row r="16" ht="75.75" customHeight="1">
      <c r="A16" s="12">
        <v>1.0</v>
      </c>
      <c r="B16" s="12" t="s">
        <v>65</v>
      </c>
      <c r="C16" s="12" t="s">
        <v>66</v>
      </c>
      <c r="D16" s="12" t="s">
        <v>35</v>
      </c>
      <c r="E16" s="12">
        <v>10.0</v>
      </c>
      <c r="F16" s="18" t="s">
        <v>67</v>
      </c>
      <c r="G16" s="14">
        <v>44792.0</v>
      </c>
      <c r="H16" s="14">
        <v>46168.0</v>
      </c>
      <c r="I16" s="12">
        <v>7.0</v>
      </c>
      <c r="J16" s="14" t="s">
        <v>21</v>
      </c>
      <c r="K16" s="15" t="s">
        <v>22</v>
      </c>
      <c r="L16" s="16" t="s">
        <v>68</v>
      </c>
    </row>
    <row r="17" ht="84.75" customHeight="1">
      <c r="A17" s="12">
        <v>1.0</v>
      </c>
      <c r="B17" s="12" t="s">
        <v>65</v>
      </c>
      <c r="C17" s="12" t="s">
        <v>66</v>
      </c>
      <c r="D17" s="12" t="s">
        <v>52</v>
      </c>
      <c r="E17" s="12">
        <v>10.0</v>
      </c>
      <c r="F17" s="13" t="s">
        <v>69</v>
      </c>
      <c r="G17" s="14">
        <v>44792.0</v>
      </c>
      <c r="H17" s="14">
        <v>46168.0</v>
      </c>
      <c r="I17" s="12">
        <v>7.0</v>
      </c>
      <c r="J17" s="14" t="s">
        <v>21</v>
      </c>
      <c r="K17" s="15" t="s">
        <v>22</v>
      </c>
      <c r="L17" s="16" t="s">
        <v>68</v>
      </c>
    </row>
    <row r="18" ht="90.0" customHeight="1">
      <c r="A18" s="12">
        <v>1.0</v>
      </c>
      <c r="B18" s="12" t="s">
        <v>47</v>
      </c>
      <c r="C18" s="12" t="s">
        <v>70</v>
      </c>
      <c r="D18" s="12" t="s">
        <v>71</v>
      </c>
      <c r="E18" s="12">
        <v>3.0</v>
      </c>
      <c r="F18" s="13" t="s">
        <v>40</v>
      </c>
      <c r="G18" s="14">
        <v>44792.0</v>
      </c>
      <c r="H18" s="14">
        <v>46168.0</v>
      </c>
      <c r="I18" s="12"/>
      <c r="J18" s="14" t="s">
        <v>21</v>
      </c>
      <c r="K18" s="15" t="s">
        <v>22</v>
      </c>
      <c r="L18" s="16" t="s">
        <v>72</v>
      </c>
    </row>
    <row r="19" ht="88.5" customHeight="1">
      <c r="A19" s="12">
        <v>1.0</v>
      </c>
      <c r="B19" s="12" t="s">
        <v>47</v>
      </c>
      <c r="C19" s="12" t="s">
        <v>70</v>
      </c>
      <c r="D19" s="12" t="s">
        <v>73</v>
      </c>
      <c r="E19" s="12">
        <v>3.0</v>
      </c>
      <c r="F19" s="13" t="s">
        <v>74</v>
      </c>
      <c r="G19" s="14">
        <v>44792.0</v>
      </c>
      <c r="H19" s="14">
        <v>46168.0</v>
      </c>
      <c r="I19" s="12"/>
      <c r="J19" s="14" t="s">
        <v>21</v>
      </c>
      <c r="K19" s="15" t="s">
        <v>22</v>
      </c>
      <c r="L19" s="16" t="s">
        <v>72</v>
      </c>
    </row>
    <row r="20" ht="92.25" customHeight="1">
      <c r="A20" s="12">
        <v>1.0</v>
      </c>
      <c r="B20" s="12" t="s">
        <v>47</v>
      </c>
      <c r="C20" s="12" t="s">
        <v>70</v>
      </c>
      <c r="D20" s="12" t="s">
        <v>75</v>
      </c>
      <c r="E20" s="12">
        <v>3.0</v>
      </c>
      <c r="F20" s="13" t="s">
        <v>40</v>
      </c>
      <c r="G20" s="14">
        <v>44792.0</v>
      </c>
      <c r="H20" s="14">
        <v>46168.0</v>
      </c>
      <c r="I20" s="12"/>
      <c r="J20" s="14" t="s">
        <v>21</v>
      </c>
      <c r="K20" s="15" t="s">
        <v>22</v>
      </c>
      <c r="L20" s="16" t="s">
        <v>72</v>
      </c>
    </row>
    <row r="21" ht="89.2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I1"/>
    <mergeCell ref="A2:E2"/>
    <mergeCell ref="G2:I2"/>
    <mergeCell ref="J2:L2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6.0"/>
    <col customWidth="1" min="2" max="2" width="12.0"/>
    <col customWidth="1" min="3" max="7" width="16.0"/>
    <col customWidth="1" min="8" max="8" width="22.71"/>
    <col customWidth="1" min="9" max="9" width="3.0"/>
    <col customWidth="1" min="10" max="10" width="31.57"/>
    <col customWidth="1" min="11" max="11" width="10.0"/>
    <col customWidth="1" min="12" max="26" width="8.71"/>
  </cols>
  <sheetData>
    <row r="1">
      <c r="A1" s="19" t="s">
        <v>76</v>
      </c>
    </row>
    <row r="2">
      <c r="A2" s="20" t="s">
        <v>77</v>
      </c>
    </row>
    <row r="4">
      <c r="A4" s="21" t="s">
        <v>78</v>
      </c>
      <c r="B4" s="21" t="s">
        <v>79</v>
      </c>
      <c r="C4" s="21" t="s">
        <v>80</v>
      </c>
      <c r="D4" s="21" t="s">
        <v>81</v>
      </c>
      <c r="E4" s="21" t="s">
        <v>82</v>
      </c>
      <c r="F4" s="21" t="s">
        <v>83</v>
      </c>
      <c r="G4" s="21" t="s">
        <v>84</v>
      </c>
      <c r="H4" s="21" t="s">
        <v>85</v>
      </c>
      <c r="J4" s="22" t="s">
        <v>86</v>
      </c>
      <c r="K4" s="23">
        <f>SUM(Seguimiento_Sprint!E4:E20)</f>
        <v>67</v>
      </c>
    </row>
    <row r="5">
      <c r="A5" s="24">
        <v>1.0</v>
      </c>
      <c r="B5" s="24" t="s">
        <v>87</v>
      </c>
      <c r="C5" s="25">
        <v>3.0</v>
      </c>
      <c r="D5" s="25">
        <v>2.0</v>
      </c>
      <c r="E5" s="25">
        <f t="shared" ref="E5:F5" si="1">C5</f>
        <v>3</v>
      </c>
      <c r="F5" s="25">
        <f t="shared" si="1"/>
        <v>2</v>
      </c>
      <c r="G5" s="25">
        <f t="shared" ref="G5:H5" si="2">$K$4-E5</f>
        <v>64</v>
      </c>
      <c r="H5" s="25">
        <f t="shared" si="2"/>
        <v>65</v>
      </c>
    </row>
    <row r="6">
      <c r="A6" s="24">
        <v>2.0</v>
      </c>
      <c r="B6" s="24" t="s">
        <v>88</v>
      </c>
      <c r="C6" s="25">
        <v>5.6667</v>
      </c>
      <c r="D6" s="25">
        <v>11.0</v>
      </c>
      <c r="E6" s="25">
        <f t="shared" ref="E6:F6" si="3">E5+C6</f>
        <v>8.6667</v>
      </c>
      <c r="F6" s="25">
        <f t="shared" si="3"/>
        <v>13</v>
      </c>
      <c r="G6" s="25">
        <f t="shared" ref="G6:H6" si="4">$K$4-E6</f>
        <v>58.3333</v>
      </c>
      <c r="H6" s="25">
        <f t="shared" si="4"/>
        <v>54</v>
      </c>
    </row>
    <row r="7">
      <c r="A7" s="24">
        <v>3.0</v>
      </c>
      <c r="B7" s="24" t="s">
        <v>89</v>
      </c>
      <c r="C7" s="25">
        <v>0.0</v>
      </c>
      <c r="D7" s="25">
        <v>0.0</v>
      </c>
      <c r="E7" s="25">
        <f t="shared" ref="E7:F7" si="5">E6+C7</f>
        <v>8.6667</v>
      </c>
      <c r="F7" s="25">
        <f t="shared" si="5"/>
        <v>13</v>
      </c>
      <c r="G7" s="25">
        <f t="shared" ref="G7:H7" si="6">$K$4-E7</f>
        <v>58.3333</v>
      </c>
      <c r="H7" s="25">
        <f t="shared" si="6"/>
        <v>54</v>
      </c>
    </row>
    <row r="8">
      <c r="A8" s="24">
        <v>4.0</v>
      </c>
      <c r="B8" s="24" t="s">
        <v>90</v>
      </c>
      <c r="C8" s="25">
        <v>3.0</v>
      </c>
      <c r="D8" s="25">
        <v>2.0</v>
      </c>
      <c r="E8" s="25">
        <f t="shared" ref="E8:F8" si="7">E7+C8</f>
        <v>11.6667</v>
      </c>
      <c r="F8" s="25">
        <f t="shared" si="7"/>
        <v>15</v>
      </c>
      <c r="G8" s="25">
        <f t="shared" ref="G8:H8" si="8">$K$4-E8</f>
        <v>55.3333</v>
      </c>
      <c r="H8" s="25">
        <f t="shared" si="8"/>
        <v>52</v>
      </c>
    </row>
    <row r="9">
      <c r="A9" s="24">
        <v>5.0</v>
      </c>
      <c r="B9" s="24" t="s">
        <v>91</v>
      </c>
      <c r="C9" s="25">
        <v>2.0</v>
      </c>
      <c r="D9" s="25">
        <v>2.0</v>
      </c>
      <c r="E9" s="25">
        <f t="shared" ref="E9:F9" si="9">E8+C9</f>
        <v>13.6667</v>
      </c>
      <c r="F9" s="25">
        <f t="shared" si="9"/>
        <v>17</v>
      </c>
      <c r="G9" s="25">
        <f t="shared" ref="G9:H9" si="10">$K$4-E9</f>
        <v>53.3333</v>
      </c>
      <c r="H9" s="25">
        <f t="shared" si="10"/>
        <v>50</v>
      </c>
    </row>
    <row r="10">
      <c r="A10" s="24">
        <v>6.0</v>
      </c>
      <c r="B10" s="24" t="s">
        <v>92</v>
      </c>
      <c r="C10" s="25">
        <v>0.0</v>
      </c>
      <c r="D10" s="25">
        <v>0.0</v>
      </c>
      <c r="E10" s="25">
        <f t="shared" ref="E10:F10" si="11">E9+C10</f>
        <v>13.6667</v>
      </c>
      <c r="F10" s="25">
        <f t="shared" si="11"/>
        <v>17</v>
      </c>
      <c r="G10" s="25">
        <f t="shared" ref="G10:H10" si="12">$K$4-E10</f>
        <v>53.3333</v>
      </c>
      <c r="H10" s="25">
        <f t="shared" si="12"/>
        <v>50</v>
      </c>
    </row>
    <row r="11">
      <c r="A11" s="24">
        <v>7.0</v>
      </c>
      <c r="B11" s="24" t="s">
        <v>93</v>
      </c>
      <c r="C11" s="25">
        <v>5.1667</v>
      </c>
      <c r="D11" s="25">
        <v>10.0</v>
      </c>
      <c r="E11" s="25">
        <f t="shared" ref="E11:F11" si="13">E10+C11</f>
        <v>18.8334</v>
      </c>
      <c r="F11" s="25">
        <f t="shared" si="13"/>
        <v>27</v>
      </c>
      <c r="G11" s="25">
        <f t="shared" ref="G11:H11" si="14">$K$4-E11</f>
        <v>48.1666</v>
      </c>
      <c r="H11" s="25">
        <f t="shared" si="14"/>
        <v>40</v>
      </c>
    </row>
    <row r="12">
      <c r="A12" s="24">
        <v>8.0</v>
      </c>
      <c r="B12" s="24" t="s">
        <v>94</v>
      </c>
      <c r="C12" s="25">
        <v>2.0</v>
      </c>
      <c r="D12" s="25">
        <v>1.0</v>
      </c>
      <c r="E12" s="25">
        <f t="shared" ref="E12:F12" si="15">E11+C12</f>
        <v>20.8334</v>
      </c>
      <c r="F12" s="25">
        <f t="shared" si="15"/>
        <v>28</v>
      </c>
      <c r="G12" s="25">
        <f t="shared" ref="G12:H12" si="16">$K$4-E12</f>
        <v>46.1666</v>
      </c>
      <c r="H12" s="25">
        <f t="shared" si="16"/>
        <v>39</v>
      </c>
    </row>
    <row r="13">
      <c r="A13" s="24">
        <v>9.0</v>
      </c>
      <c r="B13" s="24" t="s">
        <v>95</v>
      </c>
      <c r="C13" s="25">
        <v>6.0</v>
      </c>
      <c r="D13" s="25">
        <v>5.0</v>
      </c>
      <c r="E13" s="25">
        <f t="shared" ref="E13:F13" si="17">E12+C13</f>
        <v>26.8334</v>
      </c>
      <c r="F13" s="25">
        <f t="shared" si="17"/>
        <v>33</v>
      </c>
      <c r="G13" s="25">
        <f t="shared" ref="G13:H13" si="18">$K$4-E13</f>
        <v>40.1666</v>
      </c>
      <c r="H13" s="25">
        <f t="shared" si="18"/>
        <v>34</v>
      </c>
    </row>
    <row r="14">
      <c r="A14" s="24">
        <v>10.0</v>
      </c>
      <c r="B14" s="24" t="s">
        <v>96</v>
      </c>
      <c r="C14" s="25">
        <v>0.0</v>
      </c>
      <c r="D14" s="25">
        <v>0.0</v>
      </c>
      <c r="E14" s="25">
        <f t="shared" ref="E14:F14" si="19">E13+C14</f>
        <v>26.8334</v>
      </c>
      <c r="F14" s="25">
        <f t="shared" si="19"/>
        <v>33</v>
      </c>
      <c r="G14" s="25">
        <f t="shared" ref="G14:H14" si="20">$K$4-E14</f>
        <v>40.1666</v>
      </c>
      <c r="H14" s="25">
        <f t="shared" si="20"/>
        <v>34</v>
      </c>
    </row>
    <row r="15">
      <c r="A15" s="24">
        <v>11.0</v>
      </c>
      <c r="B15" s="24" t="s">
        <v>97</v>
      </c>
      <c r="C15" s="25">
        <v>4.0</v>
      </c>
      <c r="D15" s="25">
        <v>2.0</v>
      </c>
      <c r="E15" s="25">
        <f t="shared" ref="E15:F15" si="21">E14+C15</f>
        <v>30.8334</v>
      </c>
      <c r="F15" s="25">
        <f t="shared" si="21"/>
        <v>35</v>
      </c>
      <c r="G15" s="25">
        <f t="shared" ref="G15:H15" si="22">$K$4-E15</f>
        <v>36.1666</v>
      </c>
      <c r="H15" s="25">
        <f t="shared" si="22"/>
        <v>32</v>
      </c>
    </row>
    <row r="16">
      <c r="A16" s="24">
        <v>12.0</v>
      </c>
      <c r="B16" s="24" t="s">
        <v>98</v>
      </c>
      <c r="C16" s="25">
        <v>2.5</v>
      </c>
      <c r="D16" s="25">
        <v>2.0</v>
      </c>
      <c r="E16" s="25">
        <f t="shared" ref="E16:F16" si="23">E15+C16</f>
        <v>33.3334</v>
      </c>
      <c r="F16" s="25">
        <f t="shared" si="23"/>
        <v>37</v>
      </c>
      <c r="G16" s="25">
        <f t="shared" ref="G16:H16" si="24">$K$4-E16</f>
        <v>33.6666</v>
      </c>
      <c r="H16" s="25">
        <f t="shared" si="24"/>
        <v>30</v>
      </c>
    </row>
    <row r="17">
      <c r="A17" s="24">
        <v>13.0</v>
      </c>
      <c r="B17" s="24" t="s">
        <v>99</v>
      </c>
      <c r="C17" s="25">
        <v>5.0</v>
      </c>
      <c r="D17" s="25">
        <v>2.0</v>
      </c>
      <c r="E17" s="25">
        <f t="shared" ref="E17:F17" si="25">E16+C17</f>
        <v>38.3334</v>
      </c>
      <c r="F17" s="25">
        <f t="shared" si="25"/>
        <v>39</v>
      </c>
      <c r="G17" s="25">
        <f t="shared" ref="G17:H17" si="26">$K$4-E17</f>
        <v>28.6666</v>
      </c>
      <c r="H17" s="25">
        <f t="shared" si="26"/>
        <v>28</v>
      </c>
    </row>
    <row r="18">
      <c r="A18" s="24">
        <v>14.0</v>
      </c>
      <c r="B18" s="24" t="s">
        <v>100</v>
      </c>
      <c r="C18" s="25">
        <v>3.6667</v>
      </c>
      <c r="D18" s="25">
        <v>3.0</v>
      </c>
      <c r="E18" s="25">
        <f t="shared" ref="E18:F18" si="27">E17+C18</f>
        <v>42.0001</v>
      </c>
      <c r="F18" s="25">
        <f t="shared" si="27"/>
        <v>42</v>
      </c>
      <c r="G18" s="25">
        <f t="shared" ref="G18:H18" si="28">$K$4-E18</f>
        <v>24.9999</v>
      </c>
      <c r="H18" s="25">
        <f t="shared" si="28"/>
        <v>25</v>
      </c>
    </row>
    <row r="19">
      <c r="A19" s="24">
        <v>15.0</v>
      </c>
      <c r="B19" s="24" t="s">
        <v>101</v>
      </c>
      <c r="C19" s="25">
        <v>10.1667</v>
      </c>
      <c r="D19" s="25">
        <v>7.0</v>
      </c>
      <c r="E19" s="25">
        <f t="shared" ref="E19:F19" si="29">E18+C19</f>
        <v>52.1668</v>
      </c>
      <c r="F19" s="25">
        <f t="shared" si="29"/>
        <v>49</v>
      </c>
      <c r="G19" s="25">
        <f t="shared" ref="G19:H19" si="30">$K$4-E19</f>
        <v>14.8332</v>
      </c>
      <c r="H19" s="25">
        <f t="shared" si="30"/>
        <v>18</v>
      </c>
    </row>
    <row r="20">
      <c r="A20" s="24">
        <v>16.0</v>
      </c>
      <c r="B20" s="24" t="s">
        <v>102</v>
      </c>
      <c r="C20" s="25">
        <v>6.6667</v>
      </c>
      <c r="D20" s="25">
        <v>5.0</v>
      </c>
      <c r="E20" s="25">
        <f t="shared" ref="E20:F20" si="31">E19+C20</f>
        <v>58.8335</v>
      </c>
      <c r="F20" s="25">
        <f t="shared" si="31"/>
        <v>54</v>
      </c>
      <c r="G20" s="25">
        <f t="shared" ref="G20:H20" si="32">$K$4-E20</f>
        <v>8.1665</v>
      </c>
      <c r="H20" s="25">
        <f t="shared" si="32"/>
        <v>13</v>
      </c>
    </row>
    <row r="21" ht="15.75" customHeight="1">
      <c r="A21" s="24">
        <v>17.0</v>
      </c>
      <c r="B21" s="24" t="s">
        <v>103</v>
      </c>
      <c r="C21" s="25">
        <v>8.1667</v>
      </c>
      <c r="D21" s="25">
        <v>8.0</v>
      </c>
      <c r="E21" s="25">
        <f t="shared" ref="E21:F21" si="33">E20+C21</f>
        <v>67.0002</v>
      </c>
      <c r="F21" s="25">
        <f t="shared" si="33"/>
        <v>62</v>
      </c>
      <c r="G21" s="25">
        <f t="shared" ref="G21:H21" si="34">$K$4-E21</f>
        <v>-0.0002</v>
      </c>
      <c r="H21" s="25">
        <f t="shared" si="34"/>
        <v>5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1"/>
    <mergeCell ref="A2:H2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2026-05-23T23:27:30Z</dcterms:created>
  <dc:creator>Pauu</dc:creator>
</cp:coreProperties>
</file>